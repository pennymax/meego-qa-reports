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555" yWindow="7815" windowWidth="19200" windowHeight="11310" tabRatio="691" activeTab="1"/>
  </bookViews>
  <sheets>
    <sheet name="Summary" sheetId="1" r:id="rId1"/>
    <sheet name="Results" sheetId="5" r:id="rId2"/>
  </sheets>
  <definedNames>
    <definedName name="_xlnm._FilterDatabase" localSheetId="1" hidden="1">Results!$A$35:$H$72</definedName>
    <definedName name="Bug_IDs">Results!$K$1:$K$65442</definedName>
    <definedName name="Failure_History_Title">#REF!</definedName>
    <definedName name="Failures">Summary!$H$9:$H$11</definedName>
    <definedName name="Measurement_Result_Formula">IF(AND(ISNUMBER(Results!XFB1),ISNUMBER(Results!XFC1),ISNUMBER(Results!XFD1)),MEDIAN(Results!XFB1:XFD1),IF(AND(COUNT(Results!XFB1:XFD1)&lt;3,COUNT(Results!XFB1:XFD1)&gt;0,Results!XFB1&lt;&gt;"na",Results!XFB1&lt;&gt;"f",Results!XFB1&lt;&gt;"nco",Results!XFB1&lt;&gt;"nre"),MAX(Results!XFB1:XFD1),""))</definedName>
    <definedName name="New_Bug_Titles">Summary!$G$11:$I$17</definedName>
    <definedName name="New_Bugs">Summary!$H$15</definedName>
    <definedName name="New_Bugzilla_Link">Summary!$I$15</definedName>
    <definedName name="_xlnm.Print_Area" localSheetId="0">Summary!$C$3:$H$38</definedName>
    <definedName name="Run_Name">Summary!$E$5</definedName>
    <definedName name="Run_Numbers">Summary!$E$11:$E$14</definedName>
    <definedName name="TC_Iterations_Formula">COUNTA(Results!XEU1:XEW1)</definedName>
    <definedName name="TC_Measurement_Results">Results!#REF!</definedName>
    <definedName name="TC_Measurement_Title">#REF!</definedName>
    <definedName name="TC_Numbers_History_Title">#REF!</definedName>
    <definedName name="TC_QC_Syntax_Formula">IF(AND(Results!XFA1="",Results!XEY1=""),"",IF(AND(Results!XFA1&lt;&gt;"",Results!XEY1=""),"",IF(AND(Results!XEY1&lt;&gt;"",Results!XEZ1&lt;&gt;"",Results!XFA1=""),""&amp;TEXT(Results!XEY1,"0,00")&amp;" "&amp;TEXT(Results!XEZ1,"0,00"),IF(AND(Results!XFA1&lt;&gt;"",Results!XEZ1&lt;&gt;"",Results!XEY1&lt;&gt;""),""&amp;TEXT(Results!XEY1,"0,00")&amp;""&amp;TEXT(Results!XEZ1,"0,00")&amp;" "&amp;"(target:"&amp;" "&amp;TEXT(Results!XFA1,"0,00")&amp;""&amp;""&amp;TEXT(Results!XEZ1,"0,00")&amp;")",""))))</definedName>
    <definedName name="TC_Status_Formula_HighPass">IF(Results!XEY1="na","N/A",IF(Results!XEY1="f","Failed",IF(Results!XEY1="nco","Not Completed",IF(Results!XEY1="nre","Not Released",IF(Results!XEY1="norun","No Run",IF(ISNUMBER(Results!XFB1),IF(ISNUMBER(Results!XFD1),(IF(Results!XFB1&gt;=Results!XFD1, "Passed", "Failed")), "Measured"), "No Run"))))))</definedName>
    <definedName name="TC_Status_Formula_LowPass">IF(Results!XEY1="na","N/A",IF(Results!XEY1="f","Failed",IF(Results!XEY1="nco","Not Completed",IF(Results!XEY1="nre","Not Released",IF(Results!XEY1="norun","No Run",IF(ISNUMBER(Results!XFB1),IF(ISNUMBER(Results!XFD1),(IF(Results!XFB1&lt;=Results!XFD1, "Passed", "Failed")), "Measured"), "No Run"))))))</definedName>
    <definedName name="TC_Status_Title">#REF!</definedName>
    <definedName name="TC_Statuses">Results!#REF!</definedName>
    <definedName name="Total_Bugs">Summary!$H$14</definedName>
    <definedName name="Total_Bugzilla_Link">Summary!$I$14</definedName>
    <definedName name="Z_1422D4B5_40A5_4CE9_AC9F_19FD647613A8_.wvu.FilterData" localSheetId="1" hidden="1">Results!#REF!</definedName>
    <definedName name="Z_1DC31D9E_F838_466F_AE4E_EA6E27F32351_.wvu.FilterData" localSheetId="1" hidden="1">Results!#REF!</definedName>
    <definedName name="Z_2900BB28_727F_45AF_921C_42E2E95EC9C6_.wvu.FilterData" localSheetId="1" hidden="1">Results!#REF!</definedName>
    <definedName name="Z_3A500C5E_7294_4394_872A_49E6BEC14201_.wvu.FilterData" localSheetId="1" hidden="1">Results!#REF!</definedName>
    <definedName name="Z_3D4019F0_B6BF_41D1_AA5C_CE6FD98A780A_.wvu.FilterData" localSheetId="1" hidden="1">Results!#REF!</definedName>
    <definedName name="Z_528159FA_AE99_4877_B42C_3712A76E72FD_.wvu.FilterData" localSheetId="1" hidden="1">Results!#REF!</definedName>
    <definedName name="Z_5AB95D4F_A0F6_49AE_922B_7FDB4EDA9255_.wvu.FilterData" localSheetId="1" hidden="1">Results!#REF!</definedName>
    <definedName name="Z_75411AC1_00FE_4DAA_984A_51429FC9C9BF_.wvu.FilterData" localSheetId="1" hidden="1">Results!#REF!</definedName>
    <definedName name="Z_9F519F21_954A_4FEC_90DB_02751E61571B_.wvu.FilterData" localSheetId="1" hidden="1">Results!#REF!</definedName>
    <definedName name="Z_A5630A3D_AECB_47AD_926F_6D718816E35B_.wvu.FilterData" localSheetId="1" hidden="1">Results!#REF!</definedName>
    <definedName name="Z_A8127A49_F7D8_460D_8336_52AE5A5B199A_.wvu.FilterData" localSheetId="1" hidden="1">Results!#REF!</definedName>
    <definedName name="Z_AB1C26CB_7CE7_45FF_B48D_D3BC1EB2A1EB_.wvu.FilterData" localSheetId="1" hidden="1">Results!#REF!</definedName>
    <definedName name="Z_CDB33AD0_3D7A_49C3_974B_11E7AA4F9635_.wvu.FilterData" localSheetId="1" hidden="1">Results!#REF!</definedName>
    <definedName name="Z_E296F368_D600_4815_944D_18D6B6B33927_.wvu.FilterData" localSheetId="1" hidden="1">Results!#REF!</definedName>
    <definedName name="Z_F19EDD48_B4D0_405C_9583_0472E17ADD7E_.wvu.FilterData" localSheetId="1" hidden="1">Results!#REF!</definedName>
  </definedNames>
  <calcPr calcId="125725"/>
</workbook>
</file>

<file path=xl/calcChain.xml><?xml version="1.0" encoding="utf-8"?>
<calcChain xmlns="http://schemas.openxmlformats.org/spreadsheetml/2006/main">
  <c r="V9" i="5"/>
  <c r="V10"/>
  <c r="V11" s="1"/>
  <c r="V17" s="1"/>
  <c r="V13"/>
  <c r="V16"/>
  <c r="V18"/>
  <c r="Q9"/>
  <c r="Q10"/>
  <c r="Q11" s="1"/>
  <c r="Q17" s="1"/>
  <c r="Q13"/>
  <c r="Q16"/>
  <c r="Q18"/>
  <c r="P9"/>
  <c r="P10" s="1"/>
  <c r="P13"/>
  <c r="P18" s="1"/>
  <c r="P16"/>
  <c r="B9"/>
  <c r="V14" l="1"/>
  <c r="V19" s="1"/>
  <c r="Q14"/>
  <c r="Q19" s="1"/>
  <c r="P11"/>
  <c r="P17" s="1"/>
  <c r="P14"/>
  <c r="P19" s="1"/>
  <c r="H7" i="1"/>
  <c r="E72" i="5"/>
  <c r="F72"/>
  <c r="G72"/>
  <c r="H72"/>
  <c r="C3" i="1" l="1"/>
  <c r="O82" i="5"/>
  <c r="N82"/>
  <c r="M82"/>
  <c r="E16" l="1"/>
  <c r="J120"/>
  <c r="K120" l="1"/>
  <c r="I120"/>
  <c r="F9" l="1"/>
  <c r="F10" s="1"/>
  <c r="G9"/>
  <c r="G10" s="1"/>
  <c r="A2"/>
  <c r="E6" i="1"/>
  <c r="Y16" i="5" l="1"/>
  <c r="X16"/>
  <c r="W16"/>
  <c r="U16"/>
  <c r="Y9"/>
  <c r="X9"/>
  <c r="W9"/>
  <c r="U9"/>
  <c r="T16"/>
  <c r="S16"/>
  <c r="R16"/>
  <c r="O16"/>
  <c r="T9"/>
  <c r="S9"/>
  <c r="R9"/>
  <c r="O9"/>
  <c r="X10" l="1"/>
  <c r="X11" s="1"/>
  <c r="X17" s="1"/>
  <c r="X13"/>
  <c r="X18" s="1"/>
  <c r="U10"/>
  <c r="U11" s="1"/>
  <c r="U17" s="1"/>
  <c r="W10"/>
  <c r="W11" s="1"/>
  <c r="W17" s="1"/>
  <c r="Y10"/>
  <c r="Y11" s="1"/>
  <c r="Y17" s="1"/>
  <c r="U13"/>
  <c r="U18" s="1"/>
  <c r="W13"/>
  <c r="W18" s="1"/>
  <c r="Y13"/>
  <c r="Y18" s="1"/>
  <c r="R10"/>
  <c r="R11" s="1"/>
  <c r="R17" s="1"/>
  <c r="T10"/>
  <c r="T11" s="1"/>
  <c r="T17" s="1"/>
  <c r="R13"/>
  <c r="R18" s="1"/>
  <c r="T13"/>
  <c r="T18" s="1"/>
  <c r="O10"/>
  <c r="O11" s="1"/>
  <c r="O17" s="1"/>
  <c r="S10"/>
  <c r="S11" s="1"/>
  <c r="S17" s="1"/>
  <c r="O13"/>
  <c r="O18" s="1"/>
  <c r="S13"/>
  <c r="S18" s="1"/>
  <c r="W14" l="1"/>
  <c r="W19" s="1"/>
  <c r="Y14"/>
  <c r="Y19" s="1"/>
  <c r="U14"/>
  <c r="U19" s="1"/>
  <c r="X14"/>
  <c r="X19" s="1"/>
  <c r="R14"/>
  <c r="R19" s="1"/>
  <c r="S14"/>
  <c r="S19" s="1"/>
  <c r="O14"/>
  <c r="O19" s="1"/>
  <c r="T14"/>
  <c r="T19" s="1"/>
  <c r="E9" i="1" l="1"/>
  <c r="E8"/>
  <c r="E7"/>
  <c r="D19" i="5"/>
  <c r="D18"/>
  <c r="D17"/>
  <c r="N16"/>
  <c r="M16"/>
  <c r="L16"/>
  <c r="K16"/>
  <c r="J16"/>
  <c r="I16"/>
  <c r="H16"/>
  <c r="G16"/>
  <c r="F16"/>
  <c r="B18"/>
  <c r="B19" s="1"/>
  <c r="B17"/>
  <c r="B20" s="1"/>
  <c r="N9"/>
  <c r="M9"/>
  <c r="M13" s="1"/>
  <c r="M18" s="1"/>
  <c r="L9"/>
  <c r="K9"/>
  <c r="K13" s="1"/>
  <c r="K18" s="1"/>
  <c r="J9"/>
  <c r="I9"/>
  <c r="I13" s="1"/>
  <c r="I18" s="1"/>
  <c r="H9"/>
  <c r="G13"/>
  <c r="G18" s="1"/>
  <c r="E9"/>
  <c r="E13" s="1"/>
  <c r="E18" s="1"/>
  <c r="E10" l="1"/>
  <c r="E11" s="1"/>
  <c r="E17" s="1"/>
  <c r="G11"/>
  <c r="G17" s="1"/>
  <c r="I10"/>
  <c r="I11" s="1"/>
  <c r="I17" s="1"/>
  <c r="K10"/>
  <c r="K11" s="1"/>
  <c r="K17" s="1"/>
  <c r="M10"/>
  <c r="M11" s="1"/>
  <c r="M17" s="1"/>
  <c r="F13"/>
  <c r="F18" s="1"/>
  <c r="H13"/>
  <c r="H18" s="1"/>
  <c r="J13"/>
  <c r="J18" s="1"/>
  <c r="L13"/>
  <c r="L18" s="1"/>
  <c r="N13"/>
  <c r="N18" s="1"/>
  <c r="G14"/>
  <c r="G19" s="1"/>
  <c r="B21"/>
  <c r="F11"/>
  <c r="F17" s="1"/>
  <c r="H10"/>
  <c r="H11" s="1"/>
  <c r="H17" s="1"/>
  <c r="J10"/>
  <c r="J11" s="1"/>
  <c r="J17" s="1"/>
  <c r="L10"/>
  <c r="L11" s="1"/>
  <c r="L17" s="1"/>
  <c r="N10"/>
  <c r="N11" s="1"/>
  <c r="N17" s="1"/>
  <c r="K14" l="1"/>
  <c r="K19" s="1"/>
  <c r="M14"/>
  <c r="M19" s="1"/>
  <c r="I14"/>
  <c r="I19" s="1"/>
  <c r="E14"/>
  <c r="E19" s="1"/>
  <c r="H14"/>
  <c r="H19" s="1"/>
  <c r="L14"/>
  <c r="L19" s="1"/>
  <c r="N14"/>
  <c r="N19" s="1"/>
  <c r="J14"/>
  <c r="J19" s="1"/>
  <c r="F14"/>
  <c r="F19" s="1"/>
  <c r="E11" i="1"/>
  <c r="E13" l="1"/>
  <c r="E14"/>
  <c r="E12"/>
</calcChain>
</file>

<file path=xl/comments1.xml><?xml version="1.0" encoding="utf-8"?>
<comments xmlns="http://schemas.openxmlformats.org/spreadsheetml/2006/main">
  <authors>
    <author>Teemu Niemi</author>
  </authors>
  <commentList>
    <comment ref="A20" authorId="0">
      <text>
        <r>
          <rPr>
            <b/>
            <sz val="12"/>
            <color indexed="81"/>
            <rFont val="Tahoma"/>
            <family val="2"/>
          </rPr>
          <t>=(Pass + Measured)/(Pass + Fail + Measured)</t>
        </r>
      </text>
    </comment>
  </commentList>
</comments>
</file>

<file path=xl/sharedStrings.xml><?xml version="1.0" encoding="utf-8"?>
<sst xmlns="http://schemas.openxmlformats.org/spreadsheetml/2006/main" count="213" uniqueCount="158">
  <si>
    <t>HW</t>
  </si>
  <si>
    <t>SW</t>
  </si>
  <si>
    <t>Run Rate</t>
  </si>
  <si>
    <t>Pass Rate of Total</t>
  </si>
  <si>
    <t>Pass Rate of Executed</t>
  </si>
  <si>
    <t xml:space="preserve"> </t>
  </si>
  <si>
    <t>Passed</t>
  </si>
  <si>
    <t>Failed</t>
  </si>
  <si>
    <t>N/A</t>
  </si>
  <si>
    <t>Total</t>
  </si>
  <si>
    <t>Semantics</t>
  </si>
  <si>
    <t>HW &amp; SW INFO</t>
  </si>
  <si>
    <t xml:space="preserve">Passed: </t>
  </si>
  <si>
    <t xml:space="preserve">Failed: </t>
  </si>
  <si>
    <t xml:space="preserve">N/A: </t>
  </si>
  <si>
    <t>Test cases in total</t>
  </si>
  <si>
    <t>Passed test cases</t>
  </si>
  <si>
    <t>Failed test cases</t>
  </si>
  <si>
    <t>Not executed test cases (N/A)</t>
  </si>
  <si>
    <t>Measured test cases</t>
  </si>
  <si>
    <t>Test cases in numbers</t>
  </si>
  <si>
    <t>Functionality OK Ratio</t>
  </si>
  <si>
    <t>A test is deemed to fail if its actual result does not match its expected result.</t>
  </si>
  <si>
    <t>A test is deemed to pass if its actual result matches its expected result.</t>
  </si>
  <si>
    <t>Measured:</t>
  </si>
  <si>
    <t>Verdict cannot be given due to missing pass/fail criterion. (targets)</t>
  </si>
  <si>
    <t>Not Applicable - Initial value which is left as a verdict for a test case on a cases when no other verdict cannot be given due to some reason (e.g. performance measurement cannot be done due to failure in feature or test case could not be executed due to failure in test infra, etc.)</t>
  </si>
  <si>
    <t>Info &amp; Testers' Comments</t>
  </si>
  <si>
    <t>Link to Bugzilla</t>
  </si>
  <si>
    <t>Total Bugs</t>
  </si>
  <si>
    <t>New Bugs</t>
  </si>
  <si>
    <t>Template usage instructions</t>
  </si>
  <si>
    <r>
      <rPr>
        <b/>
        <sz val="10"/>
        <rFont val="Nokia Sans Wide"/>
        <family val="2"/>
      </rPr>
      <t>Result sheet</t>
    </r>
    <r>
      <rPr>
        <sz val="10"/>
        <rFont val="Nokia Sans Wide"/>
        <family val="2"/>
      </rPr>
      <t>: Fill in test results and failures manually. It is important to fill all the fields (such as failure type), or some of the calculations may be wrong. Also, when filling bug ids, use [New] tag for all new bugs.
By default there is no need to modify any of the formulas. If cases change, there are formulas called TC_Status_Formula_LowPass and TC_Status_Formula_HighPass that can be used.</t>
    </r>
  </si>
  <si>
    <t xml:space="preserve">Bugs </t>
  </si>
  <si>
    <t>If links don't work, copy-paste the address to your browser</t>
  </si>
  <si>
    <r>
      <rPr>
        <b/>
        <sz val="10"/>
        <rFont val="Nokia Sans Wide"/>
        <family val="2"/>
      </rPr>
      <t>Graphs and History Data sheets:</t>
    </r>
    <r>
      <rPr>
        <sz val="10"/>
        <rFont val="Nokia Sans Wide"/>
        <family val="2"/>
      </rPr>
      <t xml:space="preserve"> Usually no need to make any manual changes. Graph data range may need adjustment at some point</t>
    </r>
  </si>
  <si>
    <r>
      <rPr>
        <b/>
        <sz val="10"/>
        <rFont val="Nokia Sans Wide"/>
        <family val="2"/>
      </rPr>
      <t xml:space="preserve">Report mail: </t>
    </r>
    <r>
      <rPr>
        <sz val="10"/>
        <rFont val="Nokia Sans Wide"/>
        <family val="2"/>
      </rPr>
      <t>Select columns from B to J and copy paste them to email using Outlook 2007 or newer. Remember to fill in the location of this report xls.</t>
    </r>
  </si>
  <si>
    <r>
      <t xml:space="preserve">Summary sheet: </t>
    </r>
    <r>
      <rPr>
        <sz val="10"/>
        <rFont val="Nokia Sans Wide"/>
        <family val="2"/>
      </rPr>
      <t>Fill in the week of execution, HW&amp;SW Info, and Comments. Remember to fill in the location of this report xls (in wiki). Everything else (gray areas) is automatically updated.</t>
    </r>
  </si>
  <si>
    <t>Run Rate:</t>
  </si>
  <si>
    <t>Pass Rate of Total:</t>
  </si>
  <si>
    <t>Pass Rate of Executed:</t>
  </si>
  <si>
    <t>Functionality OK Ratio:</t>
  </si>
  <si>
    <t>The percentage of executed cases out of total</t>
  </si>
  <si>
    <t>The percentage of passed cases out of total</t>
  </si>
  <si>
    <t>The percentage of passed cases out of all executed cases</t>
  </si>
  <si>
    <t>The percentage of cases that could be successfully run (Measured+Passed) out of all executed cases</t>
  </si>
  <si>
    <t>Test run History</t>
  </si>
  <si>
    <t>Pass rate of executed %</t>
  </si>
  <si>
    <t>HW &amp; SW info</t>
  </si>
  <si>
    <t>Product</t>
  </si>
  <si>
    <t>Name of testing</t>
  </si>
  <si>
    <t>Testing results</t>
  </si>
  <si>
    <t>Pass rate</t>
  </si>
  <si>
    <t>FOR</t>
  </si>
  <si>
    <t>Total TCs</t>
  </si>
  <si>
    <t>N900</t>
  </si>
  <si>
    <t>SMS</t>
  </si>
  <si>
    <t>MeeGo/N900</t>
  </si>
  <si>
    <t>Exploratory Testing</t>
  </si>
  <si>
    <t>Executed</t>
  </si>
  <si>
    <t xml:space="preserve">Executed </t>
  </si>
  <si>
    <t>Day</t>
  </si>
  <si>
    <t xml:space="preserve">Failed </t>
  </si>
  <si>
    <t>Testing NB release</t>
  </si>
  <si>
    <t>NB release</t>
  </si>
  <si>
    <t>Category</t>
  </si>
  <si>
    <t>Create Image</t>
  </si>
  <si>
    <t>System startup</t>
  </si>
  <si>
    <t>Home screen</t>
  </si>
  <si>
    <t>Fail</t>
  </si>
  <si>
    <t>Fennec browser</t>
  </si>
  <si>
    <t>Dialer</t>
  </si>
  <si>
    <t>Connectivity</t>
  </si>
  <si>
    <t>Run time status/Settings/Control Panel</t>
  </si>
  <si>
    <t>Virtual keyboard</t>
  </si>
  <si>
    <t>Photo viewer</t>
  </si>
  <si>
    <t>Audio</t>
  </si>
  <si>
    <t>Contacts</t>
  </si>
  <si>
    <t>Security &amp; Power</t>
  </si>
  <si>
    <t>Touchscreen</t>
  </si>
  <si>
    <t>Browsing website over wifi (WEP secured by default, WPA is WEP is not testable)</t>
  </si>
  <si>
    <t>Create image with MIC2</t>
  </si>
  <si>
    <t>Check home screen theme and layout</t>
  </si>
  <si>
    <t>Display orientation detection</t>
  </si>
  <si>
    <t>Display PhoneBook</t>
  </si>
  <si>
    <t>Check call history</t>
  </si>
  <si>
    <t>Browse website and download some files through wifi</t>
  </si>
  <si>
    <t>Connect device to computer with usb cable, check the usb mass storage device is detected by computer</t>
  </si>
  <si>
    <t>Check sshd connection: connect board using usb gadget</t>
  </si>
  <si>
    <t>Support text input</t>
  </si>
  <si>
    <t>Check if the UI is correct (top bar, menu, button, etc.)</t>
  </si>
  <si>
    <t>Check if photo thumbnail index works</t>
  </si>
  <si>
    <t>Check if the UI is correct (top bar, menu, button, play queue etc.)</t>
  </si>
  <si>
    <t>Check if music could be played (WAV, AAC &amp; MP3 format ) on loudspeaker (play music by command line if audio player is not ready. aplay to play music file)</t>
  </si>
  <si>
    <t>Check if video thumbnail index works</t>
  </si>
  <si>
    <t>Check if it works with dialer, SMS</t>
  </si>
  <si>
    <t>Check PIN activation/deactivation (Need GUI support)</t>
  </si>
  <si>
    <t>PIN requested at boot</t>
  </si>
  <si>
    <t xml:space="preserve">Total TCs </t>
  </si>
  <si>
    <t xml:space="preserve">Passed </t>
  </si>
  <si>
    <t xml:space="preserve">Not testable </t>
  </si>
  <si>
    <t xml:space="preserve">Executable rate </t>
  </si>
  <si>
    <t xml:space="preserve">Pass rate of total </t>
  </si>
  <si>
    <t xml:space="preserve">Pass rate of executed </t>
  </si>
  <si>
    <t>Executable rate  %</t>
  </si>
  <si>
    <t>Pass rate of total  %</t>
  </si>
  <si>
    <t>Pass</t>
  </si>
  <si>
    <t>Check points</t>
  </si>
  <si>
    <t>Result</t>
  </si>
  <si>
    <t>Notes (bugs)</t>
  </si>
  <si>
    <t>Image boot from SD card</t>
  </si>
  <si>
    <t>Check if core applications* (Dialer, SMS, fennec browser, photo viewer, audio player, video player, contacts, email, Terminal) can be launched from app-launcher</t>
  </si>
  <si>
    <t>Switch between different applications</t>
  </si>
  <si>
    <t>Browsing website over 3G (WCDMA)</t>
  </si>
  <si>
    <t>Browser gesture support</t>
  </si>
  <si>
    <t>Dial one outgoing call, accept by other party, terminate this call (phonesim, GSM &amp; WCDMA) (GSM and WCDMA cannot be covered until real modem supported,Will use phonesim to test before real modem support)</t>
  </si>
  <si>
    <t>Send SMS ( phonesim, 2G &amp; 3G ) (2G and 3G cannot be covered until real modem supported,Will use phonesim to test before real modem support)</t>
  </si>
  <si>
    <t>Check message history (received, sent, draft)</t>
  </si>
  <si>
    <t>Check bluetooth connection (pairing and connect to bluetooth handset)</t>
  </si>
  <si>
    <t>Check if runtime status are correct on tiny toolbar/runtime status panel</t>
  </si>
  <si>
    <t>Check if virtual keyboard can be launched automatically with apps which need input text field (fennec, SMS)</t>
  </si>
  <si>
    <t>Check if photo could be played</t>
  </si>
  <si>
    <t>Video</t>
  </si>
  <si>
    <t>Check if video could be played (MP4, WMV &amp; 3GP-H264)</t>
  </si>
  <si>
    <t>Power Off / Power On</t>
  </si>
  <si>
    <t>Use touch screen to operate the system</t>
  </si>
  <si>
    <t xml:space="preserve">Total Test cases </t>
  </si>
  <si>
    <t>20100817</t>
  </si>
  <si>
    <t>Bug 5292- N900: Music player missing</t>
  </si>
  <si>
    <t>Bug 5419- Video clip playback failed.</t>
  </si>
  <si>
    <t>Bug 4048- Not able to shut down the Device(N900) via power button.</t>
  </si>
  <si>
    <t xml:space="preserve">Installation </t>
  </si>
  <si>
    <t xml:space="preserve">Use zypper to install a package </t>
  </si>
  <si>
    <t>20100818</t>
  </si>
  <si>
    <t xml:space="preserve">Bug 4021 - N900: Unable launch Browser </t>
  </si>
  <si>
    <t xml:space="preserve">Only can check call out history. 
</t>
  </si>
  <si>
    <t>SMS application can be launched and SMS can be composed, SIM function is not implemented to test send/receive message function.</t>
  </si>
  <si>
    <t>Scan wifi, check wifi connection (open/wep/wpa) and disconnection</t>
  </si>
  <si>
    <t xml:space="preserve">Bug 4049 - Unable to detect USB device after plugging it in computer </t>
  </si>
  <si>
    <t>Bug 3670 - [SMS] The SMS history fail to show.</t>
  </si>
  <si>
    <t>Fail</t>
    <phoneticPr fontId="16" type="noConversion"/>
  </si>
  <si>
    <t>Bug 4985 - [REG][CDK] touchscreen calibration issue</t>
  </si>
  <si>
    <t>Not support in meego 1.1 release.</t>
  </si>
  <si>
    <t>Only Dialer application launching. SIM function is not implemented yet.</t>
  </si>
  <si>
    <t>SSH connection can be established only if usb cable is connected before device boot up.
Bug 5031 - ssh authentication fails over usb network</t>
  </si>
  <si>
    <t>Bug 6382 - Photos application crashes when sliding an image to view next one.
Bug 6384 - Some of images are not displayed properly in full screen.</t>
  </si>
  <si>
    <t>Bug 6392 - No thumbnails index function in Photos application.</t>
  </si>
  <si>
    <t>Bug 5850 - It takes long time to launch core applications at the first time.
Bug 6044 - [SMS] Fails to launch Most of the time
Bug 3551 - xterm doesn't launch correctly and doesn't work
Bug 4021 - N900: Unable launch Browser
Bug 5292 - N900: Music player missing</t>
  </si>
  <si>
    <t>Bug 6488 - Missing plugin in Settings.</t>
  </si>
  <si>
    <t>Bug 6489 - Fail to launch VKB.</t>
  </si>
  <si>
    <t>N/A</t>
    <phoneticPr fontId="16" type="noConversion"/>
  </si>
  <si>
    <t>Blocked by Bug 6488 - Missing plugin in Settings.</t>
  </si>
  <si>
    <t>Bug 6482 - Default theme is missing in home and app-launcher screen.
Bug 5995 - Settings and Mail applications are missing in application menu in landscape mode.
Bug 5997 - The bottom row applications' icons are not fully displayed in portrait mode.
Bug 3921 - [REG] Some buttons (App-launcher, Home, Close) and app icons (Settings/Lock icons) are rendered as red blocks</t>
  </si>
  <si>
    <t>Bug 5301 - Runtime status not shown on toolbar</t>
  </si>
  <si>
    <t>9.10</t>
  </si>
  <si>
    <t>meego-handset-armv7l-n900acceptance-1.0.90.3.20100910.1-raw.tar</t>
  </si>
  <si>
    <t>1.0.90.3.20100910.1</t>
  </si>
  <si>
    <t>== Issue Summary ==
* Top bugs
** [http://bugs.meego.com/show_bug.cgi?id=4021 4021]- N900: Unable launch Browser 
** [http://bugs.meego.com/show_bug.cgi?id=5419 5419]- Video clip playback failed. 
** [http://bugs.meego.com/show_bug.cgi?id=5292 5292]- N900: Music player missing
** [http://bugs.meego.com/show_bug.cgi?id=3551 3551]- xterm doesn't launch correctly and doesn't work
** [http://bugs.meego.com/show_bug.cgi?id=4048 4048]- Not able to shut down the Device (N900) via power button.
** [http://bugs.meego.com/show_bug.cgi?id=4049 4049]- Unable to detect USB device after plugging it in computer 
** [http://bugs.meego.com/show_bug.cgi?id=3670 3670]- [SMS] The SMS history fail to show.
** [http://bugs.meego.com/show_bug.cgi?id=3921 3921]- [REG] Some buttons (App-launcher, Home, Close) and app icons (Settings/Lock icons) are rendered as red blocks. 
** [http://bugs.meego.com/show_bug.cgi?id=4985 4985]- [REG]touchscreen calibration issue
** [http://bugs.meego.com/show_bug.cgi?id=5031 5031]- ssh authentication fails over usb network
** [http://bugs.meego.com/show_bug.cgi?id=5850 5850]- It takes long time to launch core applications at the first time.
** [http://bugs.meego.com/show_bug.cgi?id=5995 5995]- Settings and Mail applications are missing in application menu in landscape mode.
** [http://bugs.meego.com/show_bug.cgi?id=5997 5997]- The bottom row applications' icons are not fully displayed in portrait mode.
** [http://bugs.meego.com/show_bug.cgi?id=5301 5301]- N900: Runtime status not shown on toolbar
** [http://bugs.meego.com/show_bug.cgi?id=6044 6044]- [SMS] Fails to launch Most of the time
** [http://bugs.meego.com/show_bug.cgi?id=6382 6382]- Photos application crashes when sliding an image to view next one.
** [http://bugs.meego.com/show_bug.cgi?id=6384 6384]- Some of images are not displayed properly in full screen.
** [http://bugs.meego.com/show_bug.cgi?id=6392 6392]- No thumbnails index function in Photos application. 
** [http://bugs.meego.com/show_bug.cgi?id=6482 6482]- Default theme is missing in home and app-launcher screen.
** [http://bugs.meego.com/show_bug.cgi?id=6488 6488]- Missing plugin in Settings.
** [http://bugs.meego.com/show_bug.cgi?id=6489 6489]- Fail to launch VKB.
* New bugs
== Quality Summary ==
'''Highlights:''' 
'''Lowlights:'''
** [http://bugs.meego.com/show_bug.cgi?id=4021 4021]- N900: Unable launch Browser 
** [http://bugs.meego.com/show_bug.cgi?id=5419 5419]- Video clip playback failed. 
** [http://bugs.meego.com/show_bug.cgi?id=5292 5292]- N900: Music player missing
** [http://bugs.meego.com/show_bug.cgi?id=3551 3551]- xterm doesn't launch correctly and doesn't work
** [http://bugs.meego.com/show_bug.cgi?id=4048 4048]- Not able to shut down the Device (N900) via power button.
** [http://bugs.meego.com/show_bug.cgi?id=4049 4049]- Unable to detect USB device after plugging it in computer 
** [http://bugs.meego.com/show_bug.cgi?id=3670 3670]- [SMS] The SMS history fail to show.
** [http://bugs.meego.com/show_bug.cgi?id=3921 3921]- [REG] Some buttons (App-launcher, Home, Close) and app icons (Settings/Lock icons) are rendered as red blocks. 
** [http://bugs.meego.com/show_bug.cgi?id=4985 4985]- [REG]touchscreen calibration issue
** [http://bugs.meego.com/show_bug.cgi?id=5031 5031]- ssh authentication fails over usb network
** [http://bugs.meego.com/show_bug.cgi?id=5850 5850]- It takes long time to launch core applications at the first time.
** [http://bugs.meego.com/show_bug.cgi?id=5995 5995]- Settings and Mail applications are missing in application menu in landscape mode.
** [http://bugs.meego.com/show_bug.cgi?id=5997 5997]- The bottom row applications' icons are not fully displayed in portrait mode.
** [http://bugs.meego.com/show_bug.cgi?id=5301 5301]- N900: Runtime status not shown on toolbar
** [http://bugs.meego.com/show_bug.cgi?id=6044 6044]- [SMS] Fails to launch Most of the time
** [http://bugs.meego.com/show_bug.cgi?id=6382 6382]- Photos application crashes when sliding an image to view next one.
** [http://bugs.meego.com/show_bug.cgi?id=6384 6384]- Some of images are not displayed properly in full screen.
** [http://bugs.meego.com/show_bug.cgi?id=6392 6392]- No thumbnails index function in Photos application. 
** [http://bugs.meego.com/show_bug.cgi?id=6482 6482]- Default theme is missing in home and app-launcher screen.
** [http://bugs.meego.com/show_bug.cgi?id=6488 6488]- Missing plugin in Settings.
** [http://bugs.meego.com/show_bug.cgi?id=6489 6489]- Fail to launch VKB.
** [http://bugs.meego.com/show_bug.cgi?id=6320 6320]- Close button does not work when email application window is in full screen
** [http://bugs.meego.com/show_bug.cgi?id=6026 6026]- The email launched from quick lanch bar and app-lancher are not consistent
** [http://bugs.meego.com/show_bug.cgi?id=5953 5953]- [QMF] account creation does not work
** [http://bugs.meego.com/show_bug.cgi?id=2922 2922]- Full phone number doesn't show after deleting all numbers
** [http://bugs.meego.com/show_bug.cgi?id=6304 6304]- Calendar application failed to launch
** [http://bugs.meego.com/show_bug.cgi?id=6565 6565]- New contacts cannot be saved in People application.
'''Performance data:'''
* bootup time: 57s
* Xterm start time: 3s
* QT Examples: 5s
* photo start time: 12s
* Setting start time: 8s
* people start time: 5 s
* SMS start time: 8s
* Video start time: 13s
* Dailer start time: 7s
* Email start time: 6s
* Chat start time: 7s
* Lock start time: 2s
* Social Networking start time: 6s
* Widgets Gallery start time: 7s</t>
  </si>
</sst>
</file>

<file path=xl/styles.xml><?xml version="1.0" encoding="utf-8"?>
<styleSheet xmlns="http://schemas.openxmlformats.org/spreadsheetml/2006/main">
  <fonts count="42">
    <font>
      <sz val="10"/>
      <name val="Arial"/>
      <family val="2"/>
    </font>
    <font>
      <sz val="11"/>
      <color theme="1"/>
      <name val="Calibri"/>
      <family val="2"/>
      <scheme val="minor"/>
    </font>
    <font>
      <sz val="11"/>
      <color theme="1"/>
      <name val="Calibri"/>
      <family val="2"/>
      <scheme val="minor"/>
    </font>
    <font>
      <sz val="8"/>
      <name val="Arial"/>
      <family val="2"/>
    </font>
    <font>
      <sz val="10"/>
      <name val="Arial"/>
      <family val="2"/>
    </font>
    <font>
      <sz val="10"/>
      <name val="Nokia Sans Wide"/>
      <family val="2"/>
    </font>
    <font>
      <b/>
      <sz val="11"/>
      <color indexed="9"/>
      <name val="Arial"/>
      <family val="2"/>
    </font>
    <font>
      <u/>
      <sz val="7.5"/>
      <color indexed="12"/>
      <name val="Arial"/>
      <family val="2"/>
    </font>
    <font>
      <b/>
      <sz val="10"/>
      <name val="Nokia Sans Wide"/>
      <family val="2"/>
    </font>
    <font>
      <sz val="12"/>
      <name val="Nokia Sans Wide"/>
      <family val="2"/>
    </font>
    <font>
      <b/>
      <sz val="16"/>
      <name val="Nokia Sans Wide"/>
      <family val="2"/>
    </font>
    <font>
      <sz val="10"/>
      <color indexed="9"/>
      <name val="Nokia Sans Wide"/>
      <family val="2"/>
    </font>
    <font>
      <b/>
      <sz val="12"/>
      <name val="Nokia Sans Wide"/>
      <family val="2"/>
    </font>
    <font>
      <b/>
      <sz val="10"/>
      <color rgb="FF000000"/>
      <name val="Nokia Sans Wide"/>
      <family val="2"/>
    </font>
    <font>
      <b/>
      <sz val="12"/>
      <color indexed="8"/>
      <name val="Arial"/>
      <family val="2"/>
    </font>
    <font>
      <b/>
      <sz val="12"/>
      <name val="Arial"/>
      <family val="2"/>
    </font>
    <font>
      <sz val="12"/>
      <name val="Arial"/>
      <family val="2"/>
    </font>
    <font>
      <b/>
      <sz val="12"/>
      <color indexed="9"/>
      <name val="Arial"/>
      <family val="2"/>
    </font>
    <font>
      <sz val="12"/>
      <color indexed="8"/>
      <name val="Arial"/>
      <family val="2"/>
    </font>
    <font>
      <sz val="12"/>
      <color indexed="9"/>
      <name val="Arial"/>
      <family val="2"/>
    </font>
    <font>
      <b/>
      <sz val="20"/>
      <color indexed="8"/>
      <name val="Arial"/>
      <family val="2"/>
    </font>
    <font>
      <b/>
      <sz val="12"/>
      <color indexed="81"/>
      <name val="Tahoma"/>
      <family val="2"/>
    </font>
    <font>
      <b/>
      <sz val="10"/>
      <color indexed="8"/>
      <name val="Arial"/>
      <family val="2"/>
    </font>
    <font>
      <b/>
      <sz val="10"/>
      <name val="Arial"/>
      <family val="2"/>
    </font>
    <font>
      <b/>
      <sz val="10"/>
      <color indexed="9"/>
      <name val="Arial"/>
      <family val="2"/>
    </font>
    <font>
      <sz val="12"/>
      <name val="宋体"/>
      <charset val="134"/>
    </font>
    <font>
      <sz val="12"/>
      <name val="Calibri"/>
      <family val="2"/>
      <scheme val="minor"/>
    </font>
    <font>
      <b/>
      <sz val="12"/>
      <name val="Calibri"/>
      <family val="2"/>
      <scheme val="minor"/>
    </font>
    <font>
      <b/>
      <sz val="11"/>
      <name val="Calibri"/>
      <family val="2"/>
      <scheme val="minor"/>
    </font>
    <font>
      <b/>
      <sz val="11"/>
      <color rgb="FF00B050"/>
      <name val="Calibri"/>
      <family val="2"/>
      <scheme val="minor"/>
    </font>
    <font>
      <b/>
      <sz val="11"/>
      <color rgb="FFC00000"/>
      <name val="Calibri"/>
      <family val="2"/>
      <scheme val="minor"/>
    </font>
    <font>
      <b/>
      <sz val="11"/>
      <color rgb="FF002060"/>
      <name val="Calibri"/>
      <family val="2"/>
      <scheme val="minor"/>
    </font>
    <font>
      <sz val="11"/>
      <name val="Calibri"/>
      <family val="2"/>
      <scheme val="minor"/>
    </font>
    <font>
      <sz val="11"/>
      <color rgb="FF00B050"/>
      <name val="Calibri"/>
      <family val="2"/>
      <scheme val="minor"/>
    </font>
    <font>
      <sz val="11"/>
      <color rgb="FFC00000"/>
      <name val="Calibri"/>
      <family val="2"/>
      <scheme val="minor"/>
    </font>
    <font>
      <sz val="11"/>
      <color rgb="FF002060"/>
      <name val="Calibri"/>
      <family val="2"/>
      <scheme val="minor"/>
    </font>
    <font>
      <sz val="12"/>
      <name val="宋体"/>
      <charset val="134"/>
    </font>
    <font>
      <u/>
      <sz val="10"/>
      <color indexed="12"/>
      <name val="Arial"/>
      <family val="2"/>
    </font>
    <font>
      <sz val="10"/>
      <color indexed="12"/>
      <name val="Arial"/>
      <family val="2"/>
    </font>
    <font>
      <sz val="10"/>
      <color rgb="FF92D050"/>
      <name val="Arial"/>
      <family val="2"/>
    </font>
    <font>
      <sz val="10"/>
      <color indexed="10"/>
      <name val="Arial"/>
      <family val="2"/>
    </font>
    <font>
      <sz val="10"/>
      <color indexed="8"/>
      <name val="Arial"/>
      <family val="2"/>
    </font>
  </fonts>
  <fills count="26">
    <fill>
      <patternFill patternType="none"/>
    </fill>
    <fill>
      <patternFill patternType="gray125"/>
    </fill>
    <fill>
      <patternFill patternType="solid">
        <fgColor indexed="23"/>
        <bgColor indexed="55"/>
      </patternFill>
    </fill>
    <fill>
      <patternFill patternType="solid">
        <fgColor indexed="22"/>
        <bgColor indexed="31"/>
      </patternFill>
    </fill>
    <fill>
      <patternFill patternType="solid">
        <fgColor indexed="9"/>
        <bgColor indexed="26"/>
      </patternFill>
    </fill>
    <fill>
      <patternFill patternType="solid">
        <fgColor indexed="57"/>
        <bgColor indexed="49"/>
      </patternFill>
    </fill>
    <fill>
      <patternFill patternType="solid">
        <fgColor indexed="60"/>
        <bgColor indexed="60"/>
      </patternFill>
    </fill>
    <fill>
      <patternFill patternType="solid">
        <fgColor indexed="43"/>
        <bgColor indexed="52"/>
      </patternFill>
    </fill>
    <fill>
      <patternFill patternType="solid">
        <fgColor indexed="30"/>
        <bgColor indexed="52"/>
      </patternFill>
    </fill>
    <fill>
      <patternFill patternType="solid">
        <fgColor indexed="44"/>
        <bgColor indexed="49"/>
      </patternFill>
    </fill>
    <fill>
      <patternFill patternType="solid">
        <fgColor indexed="23"/>
        <bgColor indexed="9"/>
      </patternFill>
    </fill>
    <fill>
      <patternFill patternType="solid">
        <fgColor indexed="44"/>
        <bgColor indexed="64"/>
      </patternFill>
    </fill>
    <fill>
      <patternFill patternType="solid">
        <fgColor theme="0"/>
        <bgColor indexed="64"/>
      </patternFill>
    </fill>
    <fill>
      <patternFill patternType="solid">
        <fgColor rgb="FF99CCFF"/>
        <bgColor indexed="49"/>
      </patternFill>
    </fill>
    <fill>
      <patternFill patternType="solid">
        <fgColor rgb="FFEAEAEA"/>
        <bgColor indexed="22"/>
      </patternFill>
    </fill>
    <fill>
      <patternFill patternType="solid">
        <fgColor rgb="FFEAEAEA"/>
        <bgColor indexed="64"/>
      </patternFill>
    </fill>
    <fill>
      <patternFill patternType="solid">
        <fgColor rgb="FFEAEAEA"/>
        <bgColor indexed="9"/>
      </patternFill>
    </fill>
    <fill>
      <patternFill patternType="solid">
        <fgColor indexed="31"/>
        <bgColor indexed="64"/>
      </patternFill>
    </fill>
    <fill>
      <patternFill patternType="solid">
        <fgColor indexed="9"/>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23"/>
        <bgColor indexed="64"/>
      </patternFill>
    </fill>
    <fill>
      <patternFill patternType="solid">
        <fgColor theme="3" tint="0.79998168889431442"/>
        <bgColor indexed="64"/>
      </patternFill>
    </fill>
    <fill>
      <patternFill patternType="solid">
        <fgColor theme="1" tint="0.499984740745262"/>
        <bgColor indexed="64"/>
      </patternFill>
    </fill>
    <fill>
      <patternFill patternType="solid">
        <fgColor theme="9" tint="0.59999389629810485"/>
        <bgColor indexed="64"/>
      </patternFill>
    </fill>
  </fills>
  <borders count="47">
    <border>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64"/>
      </bottom>
      <diagonal/>
    </border>
    <border>
      <left/>
      <right style="thin">
        <color indexed="8"/>
      </right>
      <top/>
      <bottom style="thin">
        <color indexed="8"/>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8"/>
      </right>
      <top style="thin">
        <color indexed="8"/>
      </top>
      <bottom style="thin">
        <color indexed="8"/>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right style="medium">
        <color indexed="8"/>
      </right>
      <top/>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style="medium">
        <color indexed="8"/>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s>
  <cellStyleXfs count="16">
    <xf numFmtId="0" fontId="0" fillId="0" borderId="0"/>
    <xf numFmtId="0" fontId="6" fillId="2" borderId="0" applyNumberFormat="0"/>
    <xf numFmtId="0" fontId="7" fillId="0" borderId="0" applyNumberFormat="0" applyFill="0" applyBorder="0" applyAlignment="0" applyProtection="0">
      <alignment vertical="top"/>
      <protection locked="0"/>
    </xf>
    <xf numFmtId="0" fontId="4" fillId="3" borderId="0" applyNumberFormat="0" applyAlignment="0"/>
    <xf numFmtId="0" fontId="4" fillId="0" borderId="0"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cellStyleXfs>
  <cellXfs count="204">
    <xf numFmtId="0" fontId="0" fillId="0" borderId="0" xfId="0"/>
    <xf numFmtId="0" fontId="5" fillId="0" borderId="0" xfId="0" applyFont="1" applyAlignment="1">
      <alignment vertical="center"/>
    </xf>
    <xf numFmtId="0" fontId="8" fillId="0" borderId="0" xfId="0" applyFont="1" applyBorder="1" applyAlignment="1">
      <alignment vertical="center"/>
    </xf>
    <xf numFmtId="0" fontId="5" fillId="0" borderId="0" xfId="0" applyFont="1" applyBorder="1" applyAlignment="1">
      <alignment vertical="center"/>
    </xf>
    <xf numFmtId="0" fontId="5" fillId="0" borderId="0" xfId="0" applyFont="1" applyAlignment="1">
      <alignment horizontal="right" vertical="center"/>
    </xf>
    <xf numFmtId="0" fontId="5" fillId="0" borderId="0" xfId="0" applyFont="1" applyAlignment="1">
      <alignment horizontal="center" vertical="center"/>
    </xf>
    <xf numFmtId="0" fontId="5" fillId="0" borderId="0" xfId="0" applyFont="1" applyAlignment="1">
      <alignment vertical="center" wrapText="1"/>
    </xf>
    <xf numFmtId="0" fontId="8" fillId="0" borderId="0" xfId="0" applyFont="1" applyAlignment="1">
      <alignment vertical="center"/>
    </xf>
    <xf numFmtId="0" fontId="5" fillId="0" borderId="0" xfId="0" applyFont="1" applyProtection="1"/>
    <xf numFmtId="0" fontId="5" fillId="0" borderId="2" xfId="0" applyFont="1" applyBorder="1" applyProtection="1"/>
    <xf numFmtId="0" fontId="9" fillId="4" borderId="3" xfId="0" applyFont="1" applyFill="1" applyBorder="1" applyProtection="1"/>
    <xf numFmtId="0" fontId="9" fillId="4" borderId="4" xfId="0" applyFont="1" applyFill="1" applyBorder="1" applyProtection="1"/>
    <xf numFmtId="0" fontId="5" fillId="0" borderId="5" xfId="0" applyFont="1" applyBorder="1" applyProtection="1"/>
    <xf numFmtId="0" fontId="9" fillId="4" borderId="6" xfId="0" applyFont="1" applyFill="1" applyBorder="1" applyProtection="1"/>
    <xf numFmtId="0" fontId="5" fillId="0" borderId="0" xfId="0" applyFont="1" applyBorder="1" applyProtection="1"/>
    <xf numFmtId="0" fontId="5" fillId="12" borderId="0" xfId="0" applyFont="1" applyFill="1" applyBorder="1" applyProtection="1"/>
    <xf numFmtId="0" fontId="5" fillId="0" borderId="6" xfId="0" applyFont="1" applyBorder="1" applyProtection="1"/>
    <xf numFmtId="0" fontId="11" fillId="5" borderId="7" xfId="0" applyFont="1" applyFill="1" applyBorder="1" applyAlignment="1" applyProtection="1">
      <alignment horizontal="center" vertical="center"/>
    </xf>
    <xf numFmtId="0" fontId="11" fillId="6" borderId="8" xfId="0" applyFont="1" applyFill="1" applyBorder="1" applyAlignment="1" applyProtection="1">
      <alignment horizontal="center" vertical="center"/>
    </xf>
    <xf numFmtId="0" fontId="5" fillId="7" borderId="7" xfId="0" applyFont="1" applyFill="1" applyBorder="1" applyAlignment="1" applyProtection="1">
      <alignment horizontal="center"/>
    </xf>
    <xf numFmtId="0" fontId="11" fillId="8" borderId="9" xfId="0" applyFont="1" applyFill="1" applyBorder="1" applyAlignment="1" applyProtection="1">
      <alignment horizontal="center"/>
    </xf>
    <xf numFmtId="0" fontId="8" fillId="0" borderId="6" xfId="0" quotePrefix="1" applyFont="1" applyBorder="1" applyAlignment="1" applyProtection="1">
      <alignment horizontal="center"/>
    </xf>
    <xf numFmtId="0" fontId="8" fillId="9" borderId="10" xfId="0" applyFont="1" applyFill="1" applyBorder="1" applyAlignment="1" applyProtection="1">
      <alignment horizontal="left" vertical="center" indent="1"/>
    </xf>
    <xf numFmtId="0" fontId="9" fillId="9" borderId="11" xfId="0" applyFont="1" applyFill="1" applyBorder="1" applyProtection="1"/>
    <xf numFmtId="0" fontId="5" fillId="9" borderId="11" xfId="0" applyFont="1" applyFill="1" applyBorder="1" applyProtection="1"/>
    <xf numFmtId="0" fontId="9" fillId="13" borderId="11" xfId="0" applyFont="1" applyFill="1" applyBorder="1" applyProtection="1"/>
    <xf numFmtId="0" fontId="9" fillId="13" borderId="12" xfId="0" applyFont="1" applyFill="1" applyBorder="1" applyProtection="1"/>
    <xf numFmtId="0" fontId="5" fillId="0" borderId="5" xfId="0" applyFont="1" applyBorder="1" applyAlignment="1" applyProtection="1"/>
    <xf numFmtId="0" fontId="5" fillId="0" borderId="0" xfId="0" applyFont="1" applyAlignment="1"/>
    <xf numFmtId="0" fontId="5" fillId="0" borderId="6" xfId="0" applyFont="1" applyBorder="1" applyAlignment="1"/>
    <xf numFmtId="0" fontId="8" fillId="0" borderId="0" xfId="0" applyFont="1" applyAlignment="1"/>
    <xf numFmtId="0" fontId="5" fillId="0" borderId="0" xfId="0" applyFont="1" applyBorder="1" applyAlignment="1" applyProtection="1">
      <alignment horizontal="right"/>
    </xf>
    <xf numFmtId="0" fontId="5" fillId="0" borderId="0" xfId="0" applyFont="1" applyBorder="1" applyAlignment="1" applyProtection="1">
      <alignment horizontal="right" vertical="top"/>
    </xf>
    <xf numFmtId="0" fontId="5" fillId="0" borderId="0" xfId="0" applyFont="1" applyBorder="1" applyAlignment="1" applyProtection="1">
      <alignment vertical="top" wrapText="1"/>
    </xf>
    <xf numFmtId="0" fontId="5" fillId="0" borderId="6" xfId="0" applyFont="1" applyBorder="1" applyAlignment="1" applyProtection="1">
      <alignment vertical="top"/>
    </xf>
    <xf numFmtId="0" fontId="5" fillId="0" borderId="15" xfId="0" applyFont="1" applyBorder="1" applyProtection="1"/>
    <xf numFmtId="0" fontId="5" fillId="0" borderId="1" xfId="0" applyFont="1" applyBorder="1" applyProtection="1"/>
    <xf numFmtId="0" fontId="5" fillId="0" borderId="16" xfId="0" applyFont="1" applyBorder="1" applyProtection="1"/>
    <xf numFmtId="0" fontId="8" fillId="0" borderId="0" xfId="0" applyFont="1" applyProtection="1"/>
    <xf numFmtId="0" fontId="12" fillId="0" borderId="0" xfId="0" applyFont="1" applyProtection="1"/>
    <xf numFmtId="0" fontId="8" fillId="14" borderId="17" xfId="0" applyFont="1" applyFill="1" applyBorder="1" applyAlignment="1" applyProtection="1">
      <alignment horizontal="right" vertical="center"/>
    </xf>
    <xf numFmtId="0" fontId="8" fillId="14" borderId="18" xfId="0" applyFont="1" applyFill="1" applyBorder="1" applyAlignment="1" applyProtection="1">
      <alignment horizontal="right" vertical="center"/>
    </xf>
    <xf numFmtId="0" fontId="8" fillId="15" borderId="18" xfId="0" applyFont="1" applyFill="1" applyBorder="1" applyAlignment="1">
      <alignment horizontal="center" vertical="center"/>
    </xf>
    <xf numFmtId="10" fontId="8" fillId="16" borderId="7" xfId="0" applyNumberFormat="1" applyFont="1" applyFill="1" applyBorder="1" applyAlignment="1" applyProtection="1">
      <alignment horizontal="center" vertical="center"/>
    </xf>
    <xf numFmtId="10" fontId="8" fillId="16" borderId="19" xfId="0" applyNumberFormat="1" applyFont="1" applyFill="1" applyBorder="1" applyAlignment="1" applyProtection="1">
      <alignment horizontal="center" vertical="center"/>
    </xf>
    <xf numFmtId="0" fontId="5" fillId="0" borderId="0" xfId="0" applyFont="1" applyBorder="1" applyAlignment="1" applyProtection="1">
      <alignment wrapText="1"/>
    </xf>
    <xf numFmtId="0" fontId="8" fillId="15" borderId="17" xfId="0" applyFont="1" applyFill="1" applyBorder="1" applyAlignment="1">
      <alignment horizontal="center" vertical="center"/>
    </xf>
    <xf numFmtId="0" fontId="11" fillId="10" borderId="20" xfId="0" applyFont="1" applyFill="1" applyBorder="1" applyAlignment="1" applyProtection="1">
      <alignment horizontal="center" vertical="center"/>
    </xf>
    <xf numFmtId="0" fontId="5" fillId="0" borderId="0" xfId="0" applyFont="1" applyBorder="1" applyAlignment="1">
      <alignment horizontal="center" vertical="center"/>
    </xf>
    <xf numFmtId="0" fontId="8" fillId="14" borderId="21" xfId="0" applyFont="1" applyFill="1" applyBorder="1" applyAlignment="1" applyProtection="1">
      <alignment horizontal="right" vertical="center"/>
    </xf>
    <xf numFmtId="10" fontId="8" fillId="16" borderId="20" xfId="0" applyNumberFormat="1" applyFont="1" applyFill="1" applyBorder="1" applyAlignment="1" applyProtection="1">
      <alignment horizontal="center" vertical="center"/>
    </xf>
    <xf numFmtId="0" fontId="8" fillId="14" borderId="22" xfId="0" applyFont="1" applyFill="1" applyBorder="1" applyAlignment="1" applyProtection="1">
      <alignment horizontal="right" vertical="center"/>
    </xf>
    <xf numFmtId="0" fontId="9" fillId="4" borderId="0" xfId="0" applyFont="1" applyFill="1" applyProtection="1"/>
    <xf numFmtId="0" fontId="5" fillId="12" borderId="0" xfId="0" applyFont="1" applyFill="1" applyBorder="1" applyAlignment="1">
      <alignment wrapText="1"/>
    </xf>
    <xf numFmtId="0" fontId="8" fillId="9" borderId="23" xfId="0" applyFont="1" applyFill="1" applyBorder="1" applyAlignment="1" applyProtection="1">
      <alignment horizontal="center" vertical="center"/>
    </xf>
    <xf numFmtId="0" fontId="5" fillId="0" borderId="0" xfId="0" applyFont="1" applyAlignment="1">
      <alignment horizontal="right"/>
    </xf>
    <xf numFmtId="0" fontId="5" fillId="0" borderId="0" xfId="0" applyFont="1" applyAlignment="1" applyProtection="1">
      <alignment horizontal="right"/>
    </xf>
    <xf numFmtId="0" fontId="15" fillId="17" borderId="0" xfId="0" applyFont="1" applyFill="1" applyBorder="1" applyAlignment="1" applyProtection="1">
      <alignment horizontal="right" wrapText="1"/>
    </xf>
    <xf numFmtId="0" fontId="15" fillId="18" borderId="7" xfId="0" applyFont="1" applyFill="1" applyBorder="1" applyAlignment="1" applyProtection="1">
      <alignment horizontal="center"/>
      <protection locked="0"/>
    </xf>
    <xf numFmtId="0" fontId="15" fillId="18" borderId="7" xfId="0" applyFont="1" applyFill="1" applyBorder="1" applyAlignment="1" applyProtection="1">
      <alignment horizontal="center"/>
    </xf>
    <xf numFmtId="0" fontId="14" fillId="17" borderId="0" xfId="0" applyFont="1" applyFill="1" applyBorder="1" applyAlignment="1" applyProtection="1">
      <alignment horizontal="right" wrapText="1"/>
    </xf>
    <xf numFmtId="0" fontId="17" fillId="19" borderId="7" xfId="0" applyFont="1" applyFill="1" applyBorder="1" applyAlignment="1" applyProtection="1">
      <alignment horizontal="center"/>
      <protection locked="0"/>
    </xf>
    <xf numFmtId="0" fontId="17" fillId="19" borderId="7" xfId="0" applyFont="1" applyFill="1" applyBorder="1" applyAlignment="1" applyProtection="1">
      <alignment horizontal="center"/>
    </xf>
    <xf numFmtId="0" fontId="17" fillId="20" borderId="7" xfId="0" applyFont="1" applyFill="1" applyBorder="1" applyAlignment="1" applyProtection="1">
      <alignment horizontal="center"/>
      <protection locked="0"/>
    </xf>
    <xf numFmtId="0" fontId="17" fillId="20" borderId="7" xfId="0" applyFont="1" applyFill="1" applyBorder="1" applyAlignment="1" applyProtection="1">
      <alignment horizontal="center"/>
    </xf>
    <xf numFmtId="0" fontId="15" fillId="21" borderId="7" xfId="0" applyFont="1" applyFill="1" applyBorder="1" applyAlignment="1" applyProtection="1">
      <alignment horizontal="center"/>
      <protection locked="0"/>
    </xf>
    <xf numFmtId="0" fontId="15" fillId="21" borderId="7" xfId="0" applyFont="1" applyFill="1" applyBorder="1" applyAlignment="1" applyProtection="1">
      <alignment horizontal="center"/>
    </xf>
    <xf numFmtId="0" fontId="17" fillId="22" borderId="7" xfId="0" applyFont="1" applyFill="1" applyBorder="1" applyAlignment="1" applyProtection="1">
      <alignment horizontal="center"/>
    </xf>
    <xf numFmtId="10" fontId="17" fillId="22" borderId="7" xfId="0" applyNumberFormat="1" applyFont="1" applyFill="1" applyBorder="1" applyAlignment="1" applyProtection="1">
      <alignment horizontal="center"/>
    </xf>
    <xf numFmtId="0" fontId="18" fillId="17" borderId="0" xfId="0" applyFont="1" applyFill="1" applyBorder="1" applyProtection="1"/>
    <xf numFmtId="0" fontId="19" fillId="22" borderId="0" xfId="0" applyFont="1" applyFill="1" applyBorder="1" applyProtection="1"/>
    <xf numFmtId="0" fontId="19" fillId="22" borderId="0" xfId="0" applyFont="1" applyFill="1" applyBorder="1" applyAlignment="1" applyProtection="1">
      <alignment wrapText="1"/>
    </xf>
    <xf numFmtId="0" fontId="16" fillId="17" borderId="0" xfId="0" applyFont="1" applyFill="1" applyBorder="1" applyAlignment="1" applyProtection="1">
      <alignment horizontal="right" wrapText="1"/>
    </xf>
    <xf numFmtId="0" fontId="19" fillId="22" borderId="17" xfId="0" applyFont="1" applyFill="1" applyBorder="1" applyAlignment="1" applyProtection="1">
      <alignment horizontal="center"/>
    </xf>
    <xf numFmtId="10" fontId="19" fillId="22" borderId="24" xfId="0" applyNumberFormat="1" applyFont="1" applyFill="1" applyBorder="1" applyAlignment="1" applyProtection="1">
      <alignment horizontal="center"/>
    </xf>
    <xf numFmtId="10" fontId="19" fillId="22" borderId="17" xfId="0" applyNumberFormat="1" applyFont="1" applyFill="1" applyBorder="1" applyAlignment="1" applyProtection="1">
      <alignment horizontal="center"/>
    </xf>
    <xf numFmtId="0" fontId="16" fillId="18" borderId="0" xfId="0" applyFont="1" applyFill="1" applyBorder="1" applyProtection="1"/>
    <xf numFmtId="0" fontId="14" fillId="18" borderId="0" xfId="0" applyFont="1" applyFill="1" applyBorder="1" applyProtection="1"/>
    <xf numFmtId="0" fontId="16" fillId="18" borderId="0" xfId="0" applyFont="1" applyFill="1" applyBorder="1" applyAlignment="1" applyProtection="1">
      <alignment wrapText="1"/>
    </xf>
    <xf numFmtId="0" fontId="20" fillId="18" borderId="0" xfId="0" applyFont="1" applyFill="1" applyBorder="1" applyAlignment="1" applyProtection="1">
      <alignment horizontal="left"/>
    </xf>
    <xf numFmtId="0" fontId="16" fillId="18" borderId="0" xfId="0" applyFont="1" applyFill="1" applyBorder="1" applyAlignment="1" applyProtection="1">
      <alignment horizontal="left"/>
    </xf>
    <xf numFmtId="0" fontId="14" fillId="18" borderId="0" xfId="0" applyFont="1" applyFill="1" applyBorder="1" applyAlignment="1" applyProtection="1">
      <alignment horizontal="left"/>
    </xf>
    <xf numFmtId="0" fontId="15" fillId="18" borderId="0" xfId="0" applyFont="1" applyFill="1" applyBorder="1" applyAlignment="1" applyProtection="1">
      <alignment horizontal="left" vertical="center"/>
    </xf>
    <xf numFmtId="0" fontId="16" fillId="18" borderId="0" xfId="0" applyFont="1" applyFill="1" applyProtection="1"/>
    <xf numFmtId="0" fontId="16" fillId="18" borderId="0" xfId="0" applyFont="1" applyFill="1" applyBorder="1" applyAlignment="1" applyProtection="1"/>
    <xf numFmtId="0" fontId="22" fillId="17" borderId="31" xfId="0" applyFont="1" applyFill="1" applyBorder="1" applyAlignment="1" applyProtection="1">
      <alignment horizontal="left"/>
    </xf>
    <xf numFmtId="0" fontId="0" fillId="17" borderId="32" xfId="0" applyFont="1" applyFill="1" applyBorder="1" applyAlignment="1" applyProtection="1">
      <alignment horizontal="left"/>
    </xf>
    <xf numFmtId="0" fontId="22" fillId="17" borderId="33" xfId="0" applyFont="1" applyFill="1" applyBorder="1" applyAlignment="1" applyProtection="1">
      <alignment horizontal="left"/>
    </xf>
    <xf numFmtId="0" fontId="23" fillId="18" borderId="34" xfId="0" applyFont="1" applyFill="1" applyBorder="1" applyAlignment="1" applyProtection="1">
      <alignment horizontal="left"/>
      <protection locked="0"/>
    </xf>
    <xf numFmtId="0" fontId="23" fillId="17" borderId="35" xfId="0" applyFont="1" applyFill="1" applyBorder="1" applyAlignment="1" applyProtection="1">
      <alignment horizontal="left" vertical="center"/>
    </xf>
    <xf numFmtId="0" fontId="23" fillId="18" borderId="34" xfId="0" applyFont="1" applyFill="1" applyBorder="1" applyAlignment="1" applyProtection="1">
      <alignment horizontal="left" vertical="center" wrapText="1"/>
      <protection locked="0"/>
    </xf>
    <xf numFmtId="0" fontId="23" fillId="18" borderId="34" xfId="0" applyFont="1" applyFill="1" applyBorder="1" applyAlignment="1" applyProtection="1">
      <alignment horizontal="left" vertical="center"/>
      <protection locked="0"/>
    </xf>
    <xf numFmtId="0" fontId="23" fillId="17" borderId="36" xfId="0" applyFont="1" applyFill="1" applyBorder="1" applyAlignment="1" applyProtection="1">
      <alignment horizontal="left" vertical="center"/>
    </xf>
    <xf numFmtId="0" fontId="23" fillId="18" borderId="37" xfId="0" applyFont="1" applyFill="1" applyBorder="1" applyAlignment="1" applyProtection="1">
      <alignment horizontal="left" vertical="center"/>
      <protection locked="0"/>
    </xf>
    <xf numFmtId="0" fontId="0" fillId="18" borderId="0" xfId="0" applyFont="1" applyFill="1" applyBorder="1" applyAlignment="1" applyProtection="1">
      <alignment horizontal="left"/>
    </xf>
    <xf numFmtId="0" fontId="23" fillId="18" borderId="0" xfId="0" applyFont="1" applyFill="1" applyBorder="1" applyAlignment="1" applyProtection="1">
      <alignment horizontal="left" vertical="center"/>
    </xf>
    <xf numFmtId="0" fontId="23" fillId="17" borderId="31" xfId="0" applyFont="1" applyFill="1" applyBorder="1" applyAlignment="1" applyProtection="1">
      <alignment horizontal="left" vertical="top" wrapText="1"/>
    </xf>
    <xf numFmtId="0" fontId="0" fillId="17" borderId="32" xfId="0" applyFont="1" applyFill="1" applyBorder="1" applyAlignment="1" applyProtection="1">
      <alignment horizontal="left" vertical="top" wrapText="1"/>
    </xf>
    <xf numFmtId="0" fontId="23" fillId="17" borderId="35" xfId="0" applyFont="1" applyFill="1" applyBorder="1" applyAlignment="1" applyProtection="1">
      <alignment horizontal="left"/>
    </xf>
    <xf numFmtId="0" fontId="24" fillId="22" borderId="34" xfId="0" applyFont="1" applyFill="1" applyBorder="1" applyAlignment="1" applyProtection="1">
      <alignment horizontal="left"/>
    </xf>
    <xf numFmtId="0" fontId="22" fillId="17" borderId="35" xfId="0" applyFont="1" applyFill="1" applyBorder="1" applyAlignment="1" applyProtection="1">
      <alignment horizontal="left"/>
    </xf>
    <xf numFmtId="0" fontId="24" fillId="19" borderId="34" xfId="0" applyFont="1" applyFill="1" applyBorder="1" applyAlignment="1" applyProtection="1">
      <alignment horizontal="left"/>
      <protection locked="0"/>
    </xf>
    <xf numFmtId="0" fontId="24" fillId="20" borderId="34" xfId="0" applyFont="1" applyFill="1" applyBorder="1" applyAlignment="1" applyProtection="1">
      <alignment horizontal="left"/>
      <protection locked="0"/>
    </xf>
    <xf numFmtId="0" fontId="23" fillId="21" borderId="34" xfId="0" applyFont="1" applyFill="1" applyBorder="1" applyAlignment="1" applyProtection="1">
      <alignment horizontal="left"/>
      <protection locked="0"/>
    </xf>
    <xf numFmtId="10" fontId="24" fillId="22" borderId="34" xfId="0" applyNumberFormat="1" applyFont="1" applyFill="1" applyBorder="1" applyAlignment="1" applyProtection="1">
      <alignment horizontal="left"/>
    </xf>
    <xf numFmtId="0" fontId="22" fillId="17" borderId="36" xfId="0" applyFont="1" applyFill="1" applyBorder="1" applyAlignment="1" applyProtection="1">
      <alignment horizontal="left"/>
    </xf>
    <xf numFmtId="10" fontId="24" fillId="22" borderId="37" xfId="0" applyNumberFormat="1" applyFont="1" applyFill="1" applyBorder="1" applyAlignment="1" applyProtection="1">
      <alignment horizontal="left"/>
    </xf>
    <xf numFmtId="0" fontId="7" fillId="15" borderId="17" xfId="2" applyFill="1" applyBorder="1" applyAlignment="1" applyProtection="1">
      <alignment horizontal="left" vertical="center"/>
    </xf>
    <xf numFmtId="9" fontId="19" fillId="22" borderId="24" xfId="0" applyNumberFormat="1" applyFont="1" applyFill="1" applyBorder="1" applyAlignment="1" applyProtection="1">
      <alignment horizontal="center"/>
    </xf>
    <xf numFmtId="0" fontId="23" fillId="23" borderId="34" xfId="0" applyFont="1" applyFill="1" applyBorder="1" applyAlignment="1" applyProtection="1">
      <alignment horizontal="left"/>
      <protection locked="0"/>
    </xf>
    <xf numFmtId="0" fontId="27" fillId="0" borderId="17" xfId="0" applyFont="1" applyBorder="1" applyAlignment="1">
      <alignment horizontal="center" wrapText="1"/>
    </xf>
    <xf numFmtId="10" fontId="25" fillId="0" borderId="17" xfId="0" applyNumberFormat="1" applyFont="1" applyBorder="1" applyAlignment="1">
      <alignment horizontal="left" wrapText="1"/>
    </xf>
    <xf numFmtId="10" fontId="26" fillId="0" borderId="17" xfId="0" applyNumberFormat="1" applyFont="1" applyBorder="1" applyAlignment="1">
      <alignment horizontal="left" wrapText="1"/>
    </xf>
    <xf numFmtId="14" fontId="19" fillId="22" borderId="24" xfId="0" applyNumberFormat="1" applyFont="1" applyFill="1" applyBorder="1" applyAlignment="1" applyProtection="1">
      <alignment horizontal="center"/>
    </xf>
    <xf numFmtId="14" fontId="19" fillId="22" borderId="17" xfId="0" applyNumberFormat="1" applyFont="1" applyFill="1" applyBorder="1" applyAlignment="1" applyProtection="1">
      <alignment horizontal="center"/>
    </xf>
    <xf numFmtId="49" fontId="15" fillId="18" borderId="7" xfId="0" applyNumberFormat="1" applyFont="1" applyFill="1" applyBorder="1" applyAlignment="1" applyProtection="1">
      <alignment horizontal="center"/>
      <protection locked="0"/>
    </xf>
    <xf numFmtId="0" fontId="27" fillId="0" borderId="17" xfId="0" applyFont="1" applyBorder="1" applyAlignment="1">
      <alignment horizontal="center" vertical="center" wrapText="1"/>
    </xf>
    <xf numFmtId="0" fontId="30" fillId="24" borderId="17" xfId="0" applyFont="1" applyFill="1" applyBorder="1" applyAlignment="1">
      <alignment horizontal="center" vertical="center" wrapText="1"/>
    </xf>
    <xf numFmtId="0" fontId="31" fillId="24" borderId="17" xfId="0" applyFont="1" applyFill="1" applyBorder="1" applyAlignment="1">
      <alignment horizontal="center" vertical="center" wrapText="1"/>
    </xf>
    <xf numFmtId="0" fontId="33" fillId="0" borderId="17" xfId="0" applyFont="1" applyBorder="1" applyAlignment="1">
      <alignment horizontal="center" vertical="center" wrapText="1"/>
    </xf>
    <xf numFmtId="0" fontId="34" fillId="0" borderId="17" xfId="0" applyFont="1" applyBorder="1" applyAlignment="1">
      <alignment horizontal="center" vertical="center" wrapText="1"/>
    </xf>
    <xf numFmtId="0" fontId="35" fillId="0" borderId="17" xfId="0" applyFont="1" applyBorder="1" applyAlignment="1">
      <alignment horizontal="center" vertical="center" wrapText="1"/>
    </xf>
    <xf numFmtId="0" fontId="36" fillId="0" borderId="17" xfId="0" applyFont="1" applyBorder="1" applyAlignment="1">
      <alignment horizontal="center" vertical="center" wrapText="1"/>
    </xf>
    <xf numFmtId="10" fontId="26" fillId="0" borderId="17" xfId="0" applyNumberFormat="1" applyFont="1" applyBorder="1" applyAlignment="1">
      <alignment horizontal="center" vertical="center" wrapText="1"/>
    </xf>
    <xf numFmtId="10" fontId="36" fillId="0" borderId="17" xfId="0" applyNumberFormat="1" applyFont="1" applyBorder="1" applyAlignment="1">
      <alignment horizontal="center" vertical="center" wrapText="1"/>
    </xf>
    <xf numFmtId="0" fontId="32" fillId="0" borderId="0" xfId="0" applyFont="1" applyBorder="1" applyAlignment="1">
      <alignment horizontal="center" vertical="center" wrapText="1"/>
    </xf>
    <xf numFmtId="0" fontId="28" fillId="24" borderId="24" xfId="0" applyFont="1" applyFill="1" applyBorder="1" applyAlignment="1">
      <alignment horizontal="center" vertical="center" wrapText="1"/>
    </xf>
    <xf numFmtId="0" fontId="28" fillId="0" borderId="24" xfId="0" applyFont="1" applyBorder="1" applyAlignment="1">
      <alignment horizontal="center" vertical="center" wrapText="1"/>
    </xf>
    <xf numFmtId="0" fontId="5" fillId="0" borderId="0" xfId="0" applyFont="1" applyBorder="1" applyAlignment="1">
      <alignment horizontal="right" vertical="center"/>
    </xf>
    <xf numFmtId="0" fontId="40" fillId="0" borderId="17" xfId="0" applyFont="1" applyBorder="1" applyAlignment="1">
      <alignment horizontal="center" wrapText="1"/>
    </xf>
    <xf numFmtId="0" fontId="28" fillId="25" borderId="14" xfId="0" applyFont="1" applyFill="1" applyBorder="1" applyAlignment="1">
      <alignment horizontal="center" vertical="center" wrapText="1"/>
    </xf>
    <xf numFmtId="0" fontId="29" fillId="25" borderId="18" xfId="0" applyFont="1" applyFill="1" applyBorder="1" applyAlignment="1">
      <alignment horizontal="center" vertical="center" wrapText="1"/>
    </xf>
    <xf numFmtId="0" fontId="30" fillId="25" borderId="18" xfId="0" applyFont="1" applyFill="1" applyBorder="1" applyAlignment="1">
      <alignment horizontal="center" vertical="center" wrapText="1"/>
    </xf>
    <xf numFmtId="0" fontId="31" fillId="25" borderId="18" xfId="0" applyFont="1" applyFill="1" applyBorder="1" applyAlignment="1">
      <alignment horizontal="center" vertical="center" wrapText="1"/>
    </xf>
    <xf numFmtId="0" fontId="29" fillId="24" borderId="17" xfId="0" applyFont="1" applyFill="1" applyBorder="1" applyAlignment="1">
      <alignment horizontal="center" vertical="center" wrapText="1"/>
    </xf>
    <xf numFmtId="0" fontId="0" fillId="0" borderId="17" xfId="0" applyFont="1" applyBorder="1" applyAlignment="1">
      <alignment horizontal="center" wrapText="1"/>
    </xf>
    <xf numFmtId="0" fontId="28" fillId="24" borderId="42" xfId="0" applyFont="1" applyFill="1" applyBorder="1" applyAlignment="1">
      <alignment horizontal="center" vertical="center" wrapText="1"/>
    </xf>
    <xf numFmtId="0" fontId="28" fillId="24" borderId="41" xfId="0" applyFont="1" applyFill="1" applyBorder="1" applyAlignment="1">
      <alignment horizontal="center" vertical="center" wrapText="1"/>
    </xf>
    <xf numFmtId="0" fontId="28" fillId="24" borderId="43" xfId="0" applyFont="1" applyFill="1" applyBorder="1" applyAlignment="1">
      <alignment horizontal="left" vertical="top" wrapText="1"/>
    </xf>
    <xf numFmtId="0" fontId="37" fillId="0" borderId="38" xfId="2" applyFont="1" applyBorder="1" applyAlignment="1" applyProtection="1">
      <alignment horizontal="left" vertical="top" wrapText="1"/>
    </xf>
    <xf numFmtId="0" fontId="37" fillId="0" borderId="38" xfId="2" applyFont="1" applyBorder="1" applyAlignment="1" applyProtection="1">
      <alignment wrapText="1"/>
    </xf>
    <xf numFmtId="0" fontId="37" fillId="18" borderId="38" xfId="2" applyFont="1" applyFill="1" applyBorder="1" applyAlignment="1" applyProtection="1">
      <alignment horizontal="left" vertical="top" wrapText="1"/>
    </xf>
    <xf numFmtId="0" fontId="40" fillId="18" borderId="17" xfId="0" applyFont="1" applyFill="1" applyBorder="1" applyAlignment="1">
      <alignment horizontal="center" wrapText="1"/>
    </xf>
    <xf numFmtId="0" fontId="37" fillId="18" borderId="38" xfId="2" applyFont="1" applyFill="1" applyBorder="1" applyAlignment="1" applyProtection="1">
      <alignment wrapText="1"/>
    </xf>
    <xf numFmtId="0" fontId="38" fillId="18" borderId="38" xfId="2" applyFont="1" applyFill="1" applyBorder="1" applyAlignment="1" applyProtection="1">
      <alignment horizontal="left" vertical="top" wrapText="1"/>
    </xf>
    <xf numFmtId="0" fontId="0" fillId="0" borderId="39" xfId="0" applyFont="1" applyBorder="1" applyAlignment="1">
      <alignment horizontal="left" vertical="center" wrapText="1"/>
    </xf>
    <xf numFmtId="0" fontId="0" fillId="18" borderId="39" xfId="0" applyFont="1" applyFill="1" applyBorder="1" applyAlignment="1">
      <alignment horizontal="left" vertical="center" wrapText="1"/>
    </xf>
    <xf numFmtId="0" fontId="37" fillId="18" borderId="38" xfId="2" applyFont="1" applyFill="1" applyBorder="1" applyAlignment="1" applyProtection="1">
      <alignment vertical="top" wrapText="1"/>
    </xf>
    <xf numFmtId="0" fontId="0" fillId="0" borderId="40" xfId="0" applyFont="1" applyBorder="1" applyAlignment="1">
      <alignment wrapText="1"/>
    </xf>
    <xf numFmtId="0" fontId="39" fillId="18" borderId="17" xfId="0" applyFont="1" applyFill="1" applyBorder="1" applyAlignment="1">
      <alignment horizontal="center" wrapText="1"/>
    </xf>
    <xf numFmtId="49" fontId="24" fillId="22" borderId="34" xfId="0" applyNumberFormat="1" applyFont="1" applyFill="1" applyBorder="1" applyAlignment="1" applyProtection="1">
      <alignment horizontal="left" wrapText="1"/>
    </xf>
    <xf numFmtId="0" fontId="0" fillId="0" borderId="45" xfId="0" applyFont="1" applyBorder="1" applyAlignment="1">
      <alignment horizontal="center" wrapText="1"/>
    </xf>
    <xf numFmtId="0" fontId="0" fillId="18" borderId="17" xfId="0" applyFill="1" applyBorder="1" applyAlignment="1">
      <alignment horizontal="center" wrapText="1"/>
    </xf>
    <xf numFmtId="0" fontId="0" fillId="0" borderId="44" xfId="0" applyFont="1" applyBorder="1" applyAlignment="1">
      <alignment horizontal="center" vertical="center" wrapText="1"/>
    </xf>
    <xf numFmtId="0" fontId="28" fillId="24" borderId="46" xfId="0" applyFont="1" applyFill="1" applyBorder="1" applyAlignment="1">
      <alignment horizontal="center" vertical="center" wrapText="1"/>
    </xf>
    <xf numFmtId="0" fontId="41" fillId="18" borderId="38" xfId="2" applyFont="1" applyFill="1" applyBorder="1" applyAlignment="1" applyProtection="1">
      <alignment horizontal="left" vertical="top" wrapText="1"/>
    </xf>
    <xf numFmtId="0" fontId="4" fillId="18" borderId="38" xfId="0" applyFont="1" applyFill="1" applyBorder="1" applyAlignment="1">
      <alignment wrapText="1"/>
    </xf>
    <xf numFmtId="0" fontId="4" fillId="0" borderId="38" xfId="2" applyFont="1" applyBorder="1" applyAlignment="1" applyProtection="1">
      <alignment horizontal="left" vertical="top" wrapText="1"/>
    </xf>
    <xf numFmtId="0" fontId="4" fillId="0" borderId="0" xfId="0" applyFont="1"/>
    <xf numFmtId="0" fontId="37" fillId="12" borderId="38" xfId="2" applyFont="1" applyFill="1" applyBorder="1" applyAlignment="1" applyProtection="1">
      <alignment wrapText="1"/>
    </xf>
    <xf numFmtId="0" fontId="37" fillId="12" borderId="0" xfId="2" applyFont="1" applyFill="1" applyAlignment="1" applyProtection="1"/>
    <xf numFmtId="0" fontId="40" fillId="12" borderId="17" xfId="0" applyFont="1" applyFill="1" applyBorder="1" applyAlignment="1">
      <alignment horizontal="center" wrapText="1"/>
    </xf>
    <xf numFmtId="0" fontId="0" fillId="12" borderId="17" xfId="0" applyFont="1" applyFill="1" applyBorder="1" applyAlignment="1">
      <alignment horizontal="center" wrapText="1"/>
    </xf>
    <xf numFmtId="0" fontId="4" fillId="12" borderId="38" xfId="2" applyFont="1" applyFill="1" applyBorder="1" applyAlignment="1" applyProtection="1">
      <alignment wrapText="1"/>
    </xf>
    <xf numFmtId="0" fontId="37" fillId="12" borderId="17" xfId="2" applyFont="1" applyFill="1" applyBorder="1" applyAlignment="1" applyProtection="1"/>
    <xf numFmtId="0" fontId="10" fillId="11" borderId="26" xfId="0" applyFont="1" applyFill="1" applyBorder="1" applyAlignment="1">
      <alignment horizontal="left"/>
    </xf>
    <xf numFmtId="0" fontId="8" fillId="0" borderId="27" xfId="0" applyFont="1" applyBorder="1" applyAlignment="1">
      <alignment horizontal="left"/>
    </xf>
    <xf numFmtId="0" fontId="8" fillId="0" borderId="28" xfId="0" applyFont="1" applyBorder="1" applyAlignment="1">
      <alignment horizontal="left"/>
    </xf>
    <xf numFmtId="0" fontId="5" fillId="0" borderId="21" xfId="0" applyFont="1" applyBorder="1" applyAlignment="1">
      <alignment horizontal="center" vertical="center"/>
    </xf>
    <xf numFmtId="0" fontId="5" fillId="0" borderId="24" xfId="0" applyFont="1" applyBorder="1" applyAlignment="1">
      <alignment horizontal="center" vertical="center"/>
    </xf>
    <xf numFmtId="0" fontId="8" fillId="0" borderId="0" xfId="0" applyFont="1" applyAlignment="1" applyProtection="1">
      <alignment vertical="top" wrapText="1"/>
    </xf>
    <xf numFmtId="0" fontId="5" fillId="0" borderId="0" xfId="0" applyFont="1" applyAlignment="1">
      <alignment vertical="top" wrapText="1"/>
    </xf>
    <xf numFmtId="0" fontId="5" fillId="0" borderId="0" xfId="0" applyFont="1" applyAlignment="1" applyProtection="1">
      <alignment vertical="top" wrapText="1"/>
    </xf>
    <xf numFmtId="0" fontId="5" fillId="14" borderId="21" xfId="0" applyFont="1" applyFill="1" applyBorder="1" applyAlignment="1" applyProtection="1">
      <alignment horizontal="left" vertical="center" wrapText="1"/>
    </xf>
    <xf numFmtId="0" fontId="0" fillId="0" borderId="24" xfId="0" applyFont="1" applyBorder="1" applyAlignment="1">
      <alignment wrapText="1"/>
    </xf>
    <xf numFmtId="0" fontId="8" fillId="9" borderId="21" xfId="0" applyFont="1" applyFill="1" applyBorder="1" applyAlignment="1" applyProtection="1">
      <alignment horizontal="center" vertical="center"/>
    </xf>
    <xf numFmtId="0" fontId="8" fillId="9" borderId="25" xfId="0" applyFont="1" applyFill="1" applyBorder="1" applyAlignment="1" applyProtection="1">
      <alignment horizontal="center" vertical="center"/>
    </xf>
    <xf numFmtId="0" fontId="8" fillId="9" borderId="24" xfId="0" applyFont="1" applyFill="1" applyBorder="1" applyAlignment="1" applyProtection="1">
      <alignment horizontal="center" vertical="center"/>
    </xf>
    <xf numFmtId="0" fontId="8" fillId="15" borderId="21" xfId="0" applyFont="1" applyFill="1" applyBorder="1" applyAlignment="1">
      <alignment horizontal="center" vertical="center"/>
    </xf>
    <xf numFmtId="0" fontId="8" fillId="15" borderId="24" xfId="0" applyFont="1" applyFill="1" applyBorder="1" applyAlignment="1">
      <alignment horizontal="center" vertical="center"/>
    </xf>
    <xf numFmtId="0" fontId="8" fillId="9" borderId="21" xfId="0" applyFont="1" applyFill="1" applyBorder="1" applyAlignment="1" applyProtection="1">
      <alignment horizontal="left" vertical="center" indent="1"/>
    </xf>
    <xf numFmtId="0" fontId="5" fillId="0" borderId="25" xfId="0" applyFont="1" applyBorder="1" applyAlignment="1">
      <alignment horizontal="left" vertical="center" indent="1"/>
    </xf>
    <xf numFmtId="0" fontId="5" fillId="0" borderId="24" xfId="0" applyFont="1" applyBorder="1" applyAlignment="1">
      <alignment horizontal="left" vertical="center" indent="1"/>
    </xf>
    <xf numFmtId="0" fontId="5" fillId="0" borderId="0" xfId="0" applyFont="1" applyAlignment="1" applyProtection="1">
      <alignment wrapText="1"/>
    </xf>
    <xf numFmtId="0" fontId="0" fillId="0" borderId="24" xfId="0" applyBorder="1" applyAlignment="1">
      <alignment wrapText="1"/>
    </xf>
    <xf numFmtId="0" fontId="8" fillId="14" borderId="21" xfId="0" applyFont="1" applyFill="1" applyBorder="1" applyAlignment="1" applyProtection="1">
      <alignment horizontal="left" vertical="center"/>
    </xf>
    <xf numFmtId="0" fontId="0" fillId="0" borderId="24" xfId="0" applyBorder="1" applyAlignment="1"/>
    <xf numFmtId="0" fontId="5" fillId="0" borderId="10" xfId="0" quotePrefix="1" applyFont="1" applyBorder="1" applyAlignment="1" applyProtection="1">
      <alignment horizontal="left" vertical="top" wrapText="1"/>
    </xf>
    <xf numFmtId="0" fontId="5" fillId="0" borderId="11" xfId="0" applyFont="1" applyBorder="1" applyAlignment="1" applyProtection="1">
      <alignment horizontal="left" vertical="top" wrapText="1"/>
    </xf>
    <xf numFmtId="0" fontId="5" fillId="0" borderId="12" xfId="0" applyFont="1" applyBorder="1" applyAlignment="1" applyProtection="1">
      <alignment horizontal="left" vertical="top" wrapText="1"/>
    </xf>
    <xf numFmtId="0" fontId="5" fillId="0" borderId="22" xfId="0" applyFont="1" applyBorder="1" applyAlignment="1" applyProtection="1">
      <alignment horizontal="left" vertical="top" wrapText="1"/>
    </xf>
    <xf numFmtId="0" fontId="5" fillId="0" borderId="0" xfId="0" applyFont="1" applyBorder="1" applyAlignment="1" applyProtection="1">
      <alignment horizontal="left" vertical="top" wrapText="1"/>
    </xf>
    <xf numFmtId="0" fontId="5" fillId="0" borderId="13" xfId="0" applyFont="1" applyBorder="1" applyAlignment="1" applyProtection="1">
      <alignment horizontal="left" vertical="top" wrapText="1"/>
    </xf>
    <xf numFmtId="0" fontId="5" fillId="0" borderId="29" xfId="0" applyFont="1" applyBorder="1" applyAlignment="1" applyProtection="1">
      <alignment horizontal="left" vertical="top" wrapText="1"/>
    </xf>
    <xf numFmtId="0" fontId="5" fillId="0" borderId="30" xfId="0" applyFont="1" applyBorder="1" applyAlignment="1" applyProtection="1">
      <alignment horizontal="left" vertical="top" wrapText="1"/>
    </xf>
    <xf numFmtId="0" fontId="5" fillId="0" borderId="14" xfId="0" applyFont="1" applyBorder="1" applyAlignment="1" applyProtection="1">
      <alignment horizontal="left" vertical="top" wrapText="1"/>
    </xf>
    <xf numFmtId="0" fontId="5" fillId="0" borderId="0" xfId="0" applyFont="1" applyBorder="1" applyAlignment="1" applyProtection="1">
      <alignment vertical="top" wrapText="1"/>
    </xf>
    <xf numFmtId="0" fontId="13" fillId="0" borderId="0" xfId="0" applyFont="1" applyAlignment="1"/>
    <xf numFmtId="0" fontId="0" fillId="0" borderId="0" xfId="0" applyAlignment="1"/>
    <xf numFmtId="0" fontId="8" fillId="0" borderId="0" xfId="0" applyFont="1" applyAlignment="1"/>
    <xf numFmtId="0" fontId="5" fillId="0" borderId="0" xfId="0" applyFont="1" applyAlignment="1"/>
    <xf numFmtId="0" fontId="7" fillId="0" borderId="0" xfId="2" applyAlignment="1" applyProtection="1">
      <alignment wrapText="1"/>
    </xf>
    <xf numFmtId="0" fontId="0" fillId="0" borderId="44" xfId="0" applyFont="1" applyBorder="1" applyAlignment="1">
      <alignment horizontal="center" vertical="center" wrapText="1"/>
    </xf>
    <xf numFmtId="0" fontId="14" fillId="17" borderId="0" xfId="0" applyFont="1" applyFill="1" applyBorder="1" applyAlignment="1" applyProtection="1">
      <alignment horizontal="center"/>
    </xf>
  </cellXfs>
  <cellStyles count="16">
    <cellStyle name="Dark" xfId="1"/>
    <cellStyle name="Hyperlink" xfId="2" builtinId="8"/>
    <cellStyle name="Light" xfId="3"/>
    <cellStyle name="Normal" xfId="0" builtinId="0"/>
    <cellStyle name="Normal 14" xfId="13"/>
    <cellStyle name="Normal 15" xfId="14"/>
    <cellStyle name="Normal 16" xfId="9"/>
    <cellStyle name="Normal 17" xfId="10"/>
    <cellStyle name="Normal 18" xfId="11"/>
    <cellStyle name="Normal 19" xfId="5"/>
    <cellStyle name="Normal 2" xfId="12"/>
    <cellStyle name="Normal 20" xfId="6"/>
    <cellStyle name="Normal 21" xfId="7"/>
    <cellStyle name="Normal 22" xfId="8"/>
    <cellStyle name="Normal 3" xfId="15"/>
    <cellStyle name="Taustaton" xfId="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6E6E6"/>
      <rgbColor rgb="00CCFFFF"/>
      <rgbColor rgb="00660066"/>
      <rgbColor rgb="00FF8080"/>
      <rgbColor rgb="000066CC"/>
      <rgbColor rgb="00CCCCCC"/>
      <rgbColor rgb="00000080"/>
      <rgbColor rgb="00FF00FF"/>
      <rgbColor rgb="00FFFF00"/>
      <rgbColor rgb="0000FFFF"/>
      <rgbColor rgb="00800080"/>
      <rgbColor rgb="007E0021"/>
      <rgbColor rgb="00008080"/>
      <rgbColor rgb="000000FF"/>
      <rgbColor rgb="0000B8FF"/>
      <rgbColor rgb="00CCFFFF"/>
      <rgbColor rgb="00CCFFCC"/>
      <rgbColor rgb="00FFFF99"/>
      <rgbColor rgb="0099CCFF"/>
      <rgbColor rgb="00FF99CC"/>
      <rgbColor rgb="00CC99FF"/>
      <rgbColor rgb="00FFCC99"/>
      <rgbColor rgb="003366FF"/>
      <rgbColor rgb="0033CCCC"/>
      <rgbColor rgb="0099CC00"/>
      <rgbColor rgb="00FFB515"/>
      <rgbColor rgb="00FF9900"/>
      <rgbColor rgb="00FF6600"/>
      <rgbColor rgb="00666699"/>
      <rgbColor rgb="00B3B3B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fi-FI"/>
  <c:chart>
    <c:title>
      <c:tx>
        <c:rich>
          <a:bodyPr/>
          <a:lstStyle/>
          <a:p>
            <a:pPr>
              <a:defRPr/>
            </a:pPr>
            <a:r>
              <a:rPr lang="en-US"/>
              <a:t>Daily  N900 Acceptance Testing</a:t>
            </a:r>
          </a:p>
        </c:rich>
      </c:tx>
      <c:layout>
        <c:manualLayout>
          <c:xMode val="edge"/>
          <c:yMode val="edge"/>
          <c:x val="0.36383802383418684"/>
          <c:y val="7.6958444685192966E-3"/>
        </c:manualLayout>
      </c:layout>
      <c:spPr>
        <a:noFill/>
        <a:ln w="25400">
          <a:noFill/>
        </a:ln>
      </c:spPr>
    </c:title>
    <c:plotArea>
      <c:layout>
        <c:manualLayout>
          <c:layoutTarget val="inner"/>
          <c:xMode val="edge"/>
          <c:yMode val="edge"/>
          <c:x val="6.8866609614088123E-2"/>
          <c:y val="0.10445950154090651"/>
          <c:w val="0.6933573340832706"/>
          <c:h val="0.65741720504683543"/>
        </c:manualLayout>
      </c:layout>
      <c:barChart>
        <c:barDir val="col"/>
        <c:grouping val="clustered"/>
        <c:ser>
          <c:idx val="2"/>
          <c:order val="0"/>
          <c:tx>
            <c:strRef>
              <c:f>Results!$D$17</c:f>
              <c:strCache>
                <c:ptCount val="1"/>
                <c:pt idx="0">
                  <c:v>Pass rate of total  %</c:v>
                </c:pt>
              </c:strCache>
            </c:strRef>
          </c:tx>
          <c:spPr>
            <a:solidFill>
              <a:schemeClr val="accent1"/>
            </a:solidFill>
          </c:spPr>
          <c:cat>
            <c:strRef>
              <c:f>Results!$E$16:$W$16</c:f>
              <c:strCache>
                <c:ptCount val="18"/>
                <c:pt idx="0">
                  <c:v>20100817</c:v>
                </c:pt>
                <c:pt idx="1">
                  <c:v>20100818</c:v>
                </c:pt>
                <c:pt idx="2">
                  <c:v>20100819</c:v>
                </c:pt>
                <c:pt idx="3">
                  <c:v>20100823</c:v>
                </c:pt>
                <c:pt idx="4">
                  <c:v>20100824</c:v>
                </c:pt>
                <c:pt idx="5">
                  <c:v>20100825</c:v>
                </c:pt>
                <c:pt idx="6">
                  <c:v>20100826</c:v>
                </c:pt>
                <c:pt idx="7">
                  <c:v>20100827</c:v>
                </c:pt>
                <c:pt idx="8">
                  <c:v>20100830</c:v>
                </c:pt>
                <c:pt idx="9">
                  <c:v>20100831</c:v>
                </c:pt>
                <c:pt idx="10">
                  <c:v>20100901</c:v>
                </c:pt>
                <c:pt idx="11">
                  <c:v>20100902</c:v>
                </c:pt>
                <c:pt idx="12">
                  <c:v>20100903</c:v>
                </c:pt>
                <c:pt idx="13">
                  <c:v>20100906</c:v>
                </c:pt>
                <c:pt idx="14">
                  <c:v>20100907</c:v>
                </c:pt>
                <c:pt idx="15">
                  <c:v>20100908</c:v>
                </c:pt>
                <c:pt idx="16">
                  <c:v>20100909</c:v>
                </c:pt>
                <c:pt idx="17">
                  <c:v>20100910</c:v>
                </c:pt>
              </c:strCache>
            </c:strRef>
          </c:cat>
          <c:val>
            <c:numRef>
              <c:f>Results!$E$17:$W$17</c:f>
              <c:numCache>
                <c:formatCode>0.00\ %</c:formatCode>
                <c:ptCount val="19"/>
                <c:pt idx="0">
                  <c:v>0.31428571428571428</c:v>
                </c:pt>
                <c:pt idx="1">
                  <c:v>0.30555555555555558</c:v>
                </c:pt>
                <c:pt idx="2">
                  <c:v>0.33333333333333331</c:v>
                </c:pt>
                <c:pt idx="3">
                  <c:v>0.3888888888888889</c:v>
                </c:pt>
                <c:pt idx="4">
                  <c:v>0.3888888888888889</c:v>
                </c:pt>
                <c:pt idx="5">
                  <c:v>0.3611111111111111</c:v>
                </c:pt>
                <c:pt idx="6">
                  <c:v>0.3611111111111111</c:v>
                </c:pt>
                <c:pt idx="7">
                  <c:v>0.3611111111111111</c:v>
                </c:pt>
                <c:pt idx="8">
                  <c:v>0.41666666666666669</c:v>
                </c:pt>
                <c:pt idx="9">
                  <c:v>0.3888888888888889</c:v>
                </c:pt>
                <c:pt idx="10">
                  <c:v>0.3888888888888889</c:v>
                </c:pt>
                <c:pt idx="11">
                  <c:v>0.3611111111111111</c:v>
                </c:pt>
                <c:pt idx="12">
                  <c:v>0.3611111111111111</c:v>
                </c:pt>
                <c:pt idx="13">
                  <c:v>0.33333333333333331</c:v>
                </c:pt>
                <c:pt idx="14">
                  <c:v>0.3611111111111111</c:v>
                </c:pt>
                <c:pt idx="15">
                  <c:v>0.3611111111111111</c:v>
                </c:pt>
                <c:pt idx="16">
                  <c:v>0.33333333333333331</c:v>
                </c:pt>
                <c:pt idx="17">
                  <c:v>0.33333333333333331</c:v>
                </c:pt>
                <c:pt idx="18">
                  <c:v>#N/A</c:v>
                </c:pt>
              </c:numCache>
            </c:numRef>
          </c:val>
        </c:ser>
        <c:ser>
          <c:idx val="0"/>
          <c:order val="1"/>
          <c:tx>
            <c:strRef>
              <c:f>Results!$D$19</c:f>
              <c:strCache>
                <c:ptCount val="1"/>
                <c:pt idx="0">
                  <c:v>Executable rate  %</c:v>
                </c:pt>
              </c:strCache>
            </c:strRef>
          </c:tx>
          <c:spPr>
            <a:solidFill>
              <a:schemeClr val="accent2"/>
            </a:solidFill>
          </c:spPr>
          <c:cat>
            <c:strRef>
              <c:f>Results!$E$16:$W$16</c:f>
              <c:strCache>
                <c:ptCount val="18"/>
                <c:pt idx="0">
                  <c:v>20100817</c:v>
                </c:pt>
                <c:pt idx="1">
                  <c:v>20100818</c:v>
                </c:pt>
                <c:pt idx="2">
                  <c:v>20100819</c:v>
                </c:pt>
                <c:pt idx="3">
                  <c:v>20100823</c:v>
                </c:pt>
                <c:pt idx="4">
                  <c:v>20100824</c:v>
                </c:pt>
                <c:pt idx="5">
                  <c:v>20100825</c:v>
                </c:pt>
                <c:pt idx="6">
                  <c:v>20100826</c:v>
                </c:pt>
                <c:pt idx="7">
                  <c:v>20100827</c:v>
                </c:pt>
                <c:pt idx="8">
                  <c:v>20100830</c:v>
                </c:pt>
                <c:pt idx="9">
                  <c:v>20100831</c:v>
                </c:pt>
                <c:pt idx="10">
                  <c:v>20100901</c:v>
                </c:pt>
                <c:pt idx="11">
                  <c:v>20100902</c:v>
                </c:pt>
                <c:pt idx="12">
                  <c:v>20100903</c:v>
                </c:pt>
                <c:pt idx="13">
                  <c:v>20100906</c:v>
                </c:pt>
                <c:pt idx="14">
                  <c:v>20100907</c:v>
                </c:pt>
                <c:pt idx="15">
                  <c:v>20100908</c:v>
                </c:pt>
                <c:pt idx="16">
                  <c:v>20100909</c:v>
                </c:pt>
                <c:pt idx="17">
                  <c:v>20100910</c:v>
                </c:pt>
              </c:strCache>
            </c:strRef>
          </c:cat>
          <c:val>
            <c:numRef>
              <c:f>Results!$E$19:$W$19</c:f>
              <c:numCache>
                <c:formatCode>0.00\ %</c:formatCode>
                <c:ptCount val="19"/>
                <c:pt idx="0">
                  <c:v>0.88571428571428568</c:v>
                </c:pt>
                <c:pt idx="1">
                  <c:v>0.86111111111111116</c:v>
                </c:pt>
                <c:pt idx="2">
                  <c:v>0.88888888888888884</c:v>
                </c:pt>
                <c:pt idx="3">
                  <c:v>0.88888888888888884</c:v>
                </c:pt>
                <c:pt idx="4">
                  <c:v>0.88888888888888884</c:v>
                </c:pt>
                <c:pt idx="5">
                  <c:v>0.91666666666666663</c:v>
                </c:pt>
                <c:pt idx="6">
                  <c:v>0.91666666666666663</c:v>
                </c:pt>
                <c:pt idx="7">
                  <c:v>0.91666666666666663</c:v>
                </c:pt>
                <c:pt idx="8">
                  <c:v>0.91666666666666663</c:v>
                </c:pt>
                <c:pt idx="9">
                  <c:v>0.91666666666666663</c:v>
                </c:pt>
                <c:pt idx="10">
                  <c:v>0.91666666666666663</c:v>
                </c:pt>
                <c:pt idx="11">
                  <c:v>0.91666666666666663</c:v>
                </c:pt>
                <c:pt idx="12">
                  <c:v>0.91666666666666663</c:v>
                </c:pt>
                <c:pt idx="13">
                  <c:v>0.88888888888888884</c:v>
                </c:pt>
                <c:pt idx="14">
                  <c:v>0.91666666666666663</c:v>
                </c:pt>
                <c:pt idx="15">
                  <c:v>0.91666666666666663</c:v>
                </c:pt>
                <c:pt idx="16">
                  <c:v>0.88888888888888884</c:v>
                </c:pt>
                <c:pt idx="17">
                  <c:v>0.88888888888888884</c:v>
                </c:pt>
                <c:pt idx="18">
                  <c:v>#N/A</c:v>
                </c:pt>
              </c:numCache>
            </c:numRef>
          </c:val>
        </c:ser>
        <c:overlap val="-20"/>
        <c:axId val="74788864"/>
        <c:axId val="74790400"/>
      </c:barChart>
      <c:catAx>
        <c:axId val="74788864"/>
        <c:scaling>
          <c:orientation val="minMax"/>
        </c:scaling>
        <c:axPos val="b"/>
        <c:numFmt formatCode="@" sourceLinked="0"/>
        <c:majorTickMark val="none"/>
        <c:tickLblPos val="nextTo"/>
        <c:txPr>
          <a:bodyPr rot="-5400000" vert="horz"/>
          <a:lstStyle/>
          <a:p>
            <a:pPr>
              <a:defRPr b="0"/>
            </a:pPr>
            <a:endParaRPr lang="fi-FI"/>
          </a:p>
        </c:txPr>
        <c:crossAx val="74790400"/>
        <c:crosses val="autoZero"/>
        <c:auto val="1"/>
        <c:lblAlgn val="ctr"/>
        <c:lblOffset val="100"/>
      </c:catAx>
      <c:valAx>
        <c:axId val="74790400"/>
        <c:scaling>
          <c:orientation val="minMax"/>
          <c:max val="1"/>
          <c:min val="0"/>
        </c:scaling>
        <c:axPos val="l"/>
        <c:majorGridlines/>
        <c:numFmt formatCode="0\ %" sourceLinked="0"/>
        <c:majorTickMark val="none"/>
        <c:tickLblPos val="nextTo"/>
        <c:spPr>
          <a:ln w="9525">
            <a:noFill/>
          </a:ln>
        </c:spPr>
        <c:txPr>
          <a:bodyPr rot="0" vert="horz"/>
          <a:lstStyle/>
          <a:p>
            <a:pPr>
              <a:defRPr/>
            </a:pPr>
            <a:endParaRPr lang="fi-FI"/>
          </a:p>
        </c:txPr>
        <c:crossAx val="74788864"/>
        <c:crosses val="autoZero"/>
        <c:crossBetween val="between"/>
      </c:valAx>
      <c:spPr>
        <a:noFill/>
      </c:spPr>
    </c:plotArea>
    <c:legend>
      <c:legendPos val="r"/>
      <c:layout>
        <c:manualLayout>
          <c:xMode val="edge"/>
          <c:yMode val="edge"/>
          <c:x val="0.77021970129336603"/>
          <c:y val="0.14294706990382641"/>
          <c:w val="0.22753266960208288"/>
          <c:h val="0.43152273330505586"/>
        </c:manualLayout>
      </c:layout>
      <c:txPr>
        <a:bodyPr/>
        <a:lstStyle/>
        <a:p>
          <a:pPr>
            <a:defRPr sz="1100" b="1"/>
          </a:pPr>
          <a:endParaRPr lang="fi-FI"/>
        </a:p>
      </c:txPr>
    </c:legend>
    <c:plotVisOnly val="1"/>
    <c:dispBlanksAs val="zero"/>
  </c:chart>
  <c:spPr>
    <a:effectLst>
      <a:outerShdw blurRad="50800" dist="38100" dir="2700000" algn="tl" rotWithShape="0">
        <a:prstClr val="black">
          <a:alpha val="40000"/>
        </a:prstClr>
      </a:outerShdw>
    </a:effectLst>
  </c:spPr>
  <c:txPr>
    <a:bodyPr/>
    <a:lstStyle/>
    <a:p>
      <a:pPr>
        <a:defRPr sz="1000" b="1" i="0" u="none" strike="noStrike" baseline="0">
          <a:solidFill>
            <a:srgbClr val="000000"/>
          </a:solidFill>
          <a:latin typeface="Calibri"/>
          <a:ea typeface="Calibri"/>
          <a:cs typeface="Calibri"/>
        </a:defRPr>
      </a:pPr>
      <a:endParaRPr lang="fi-FI"/>
    </a:p>
  </c:txPr>
  <c:printSettings>
    <c:headerFooter/>
    <c:pageMargins b="0.75000000000001243" l="0.70000000000000062" r="0.70000000000000062" t="0.75000000000001243" header="0.30000000000000032" footer="0.30000000000000032"/>
    <c:pageSetup orientation="portrait"/>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114301</xdr:colOff>
      <xdr:row>35</xdr:row>
      <xdr:rowOff>257735</xdr:rowOff>
    </xdr:from>
    <xdr:to>
      <xdr:col>8</xdr:col>
      <xdr:colOff>2117912</xdr:colOff>
      <xdr:row>40</xdr:row>
      <xdr:rowOff>22412</xdr:rowOff>
    </xdr:to>
    <xdr:graphicFrame macro="">
      <xdr:nvGraphicFramePr>
        <xdr:cNvPr id="2422"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3016250</xdr:colOff>
      <xdr:row>2</xdr:row>
      <xdr:rowOff>0</xdr:rowOff>
    </xdr:from>
    <xdr:to>
      <xdr:col>21</xdr:col>
      <xdr:colOff>497417</xdr:colOff>
      <xdr:row>12</xdr:row>
      <xdr:rowOff>111125</xdr:rowOff>
    </xdr:to>
    <xdr:sp macro="" textlink="">
      <xdr:nvSpPr>
        <xdr:cNvPr id="2" name="U-Turn Arrow 1"/>
        <xdr:cNvSpPr/>
      </xdr:nvSpPr>
      <xdr:spPr bwMode="auto">
        <a:xfrm>
          <a:off x="4360333" y="539750"/>
          <a:ext cx="20838584" cy="2545292"/>
        </a:xfrm>
        <a:prstGeom prst="uturnArrow">
          <a:avLst>
            <a:gd name="adj1" fmla="val 1852"/>
            <a:gd name="adj2" fmla="val 5556"/>
            <a:gd name="adj3" fmla="val 8279"/>
            <a:gd name="adj4" fmla="val 43750"/>
            <a:gd name="adj5" fmla="val 14569"/>
          </a:avLst>
        </a:prstGeom>
        <a:solidFill>
          <a:srgbClr val="FFFFFF"/>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ugs.meego.com/buglist.cgi?quicksearch=4021%2C5419%2C5292%2C3551%2C4048%2C4049%2C3670%2C3921%2C4985%2C5031%2C5850%2C5995%2C5997%2C5301%2C6044%2C6382%2C6384%2C6392%2C6482%2C6488%2C6489"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bugs.meego.com/show_bug.cgi?id=5292" TargetMode="External"/><Relationship Id="rId13" Type="http://schemas.openxmlformats.org/officeDocument/2006/relationships/hyperlink" Target="http://bugs.meego.com/show_bug.cgi?id=6488" TargetMode="External"/><Relationship Id="rId18" Type="http://schemas.openxmlformats.org/officeDocument/2006/relationships/hyperlink" Target="http://bugs.meego.com/show_bug.cgi?id=6489" TargetMode="External"/><Relationship Id="rId3" Type="http://schemas.openxmlformats.org/officeDocument/2006/relationships/hyperlink" Target="http://bugs.meego.com/show_bug.cgi?id=4049" TargetMode="External"/><Relationship Id="rId21" Type="http://schemas.openxmlformats.org/officeDocument/2006/relationships/drawing" Target="../drawings/drawing2.xml"/><Relationship Id="rId7" Type="http://schemas.openxmlformats.org/officeDocument/2006/relationships/hyperlink" Target="http://bugs.meego.com/show_bug.cgi?id=6392" TargetMode="External"/><Relationship Id="rId12" Type="http://schemas.openxmlformats.org/officeDocument/2006/relationships/hyperlink" Target="http://bugs.meego.com/show_bug.cgi?id=4021" TargetMode="External"/><Relationship Id="rId17" Type="http://schemas.openxmlformats.org/officeDocument/2006/relationships/hyperlink" Target="http://bugs.meego.com/show_bug.cgi?id=3670" TargetMode="External"/><Relationship Id="rId2" Type="http://schemas.openxmlformats.org/officeDocument/2006/relationships/hyperlink" Target="http://bugs.meego.com/buglist.cgi?quicksearch=5995%2C5997%2C3921%2C6482" TargetMode="External"/><Relationship Id="rId16" Type="http://schemas.openxmlformats.org/officeDocument/2006/relationships/hyperlink" Target="http://bugs.meego.com/show_bug.cgi?id=6488" TargetMode="External"/><Relationship Id="rId20" Type="http://schemas.openxmlformats.org/officeDocument/2006/relationships/printerSettings" Target="../printerSettings/printerSettings2.bin"/><Relationship Id="rId1" Type="http://schemas.openxmlformats.org/officeDocument/2006/relationships/hyperlink" Target="http://bugs.meego.com/buglist.cgi?quicksearch=5850%2C6044%2C3551%2C4021%2C5292" TargetMode="External"/><Relationship Id="rId6" Type="http://schemas.openxmlformats.org/officeDocument/2006/relationships/hyperlink" Target="http://bugs.meego.com/show_bug.cgi?id=4985" TargetMode="External"/><Relationship Id="rId11" Type="http://schemas.openxmlformats.org/officeDocument/2006/relationships/hyperlink" Target="http://bugs.meego.com/show_bug.cgi?id=4021" TargetMode="External"/><Relationship Id="rId5" Type="http://schemas.openxmlformats.org/officeDocument/2006/relationships/hyperlink" Target="http://bugs.meego.com/show_bug.cgi?id=4048" TargetMode="External"/><Relationship Id="rId15" Type="http://schemas.openxmlformats.org/officeDocument/2006/relationships/hyperlink" Target="http://bugs.meego.com/show_bug.cgi?id=5031" TargetMode="External"/><Relationship Id="rId23" Type="http://schemas.openxmlformats.org/officeDocument/2006/relationships/comments" Target="../comments1.xml"/><Relationship Id="rId10" Type="http://schemas.openxmlformats.org/officeDocument/2006/relationships/hyperlink" Target="http://bugs.meego.com/show_bug.cgi?id=5419" TargetMode="External"/><Relationship Id="rId19" Type="http://schemas.openxmlformats.org/officeDocument/2006/relationships/hyperlink" Target="http://bugs.meego.com/show_bug.cgi?id=6489" TargetMode="External"/><Relationship Id="rId4" Type="http://schemas.openxmlformats.org/officeDocument/2006/relationships/hyperlink" Target="http://bugs.meego.com/show_bug.cgi?id=5301" TargetMode="External"/><Relationship Id="rId9" Type="http://schemas.openxmlformats.org/officeDocument/2006/relationships/hyperlink" Target="http://bugs.meego.com/show_bug.cgi?id=5292" TargetMode="External"/><Relationship Id="rId14" Type="http://schemas.openxmlformats.org/officeDocument/2006/relationships/hyperlink" Target="http://bugs.meego.com/show_bug.cgi?id=4021" TargetMode="External"/><Relationship Id="rId2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sheetPr codeName="Sheet1"/>
  <dimension ref="A1:P50"/>
  <sheetViews>
    <sheetView showGridLines="0" zoomScale="85" zoomScaleNormal="85" workbookViewId="0">
      <selection activeCell="E9" sqref="E9"/>
    </sheetView>
  </sheetViews>
  <sheetFormatPr defaultRowHeight="12.75"/>
  <cols>
    <col min="1" max="1" width="3.5703125" style="8" customWidth="1"/>
    <col min="2" max="2" width="2.85546875" style="8" customWidth="1"/>
    <col min="3" max="3" width="26.5703125" style="8" customWidth="1"/>
    <col min="4" max="4" width="11" style="8" customWidth="1"/>
    <col min="5" max="5" width="17.85546875" style="8" customWidth="1"/>
    <col min="6" max="6" width="5" style="8" customWidth="1"/>
    <col min="7" max="7" width="18.7109375" style="8" customWidth="1"/>
    <col min="8" max="8" width="21.42578125" style="8" customWidth="1"/>
    <col min="9" max="9" width="36.7109375" style="8" customWidth="1"/>
    <col min="10" max="10" width="2.85546875" style="8" customWidth="1"/>
    <col min="11" max="11" width="3.5703125" style="8" customWidth="1"/>
    <col min="12" max="13" width="9.140625" style="8"/>
    <col min="14" max="14" width="89.42578125" style="8" customWidth="1"/>
    <col min="15" max="16384" width="9.140625" style="8"/>
  </cols>
  <sheetData>
    <row r="1" spans="2:16" ht="13.5" thickBot="1"/>
    <row r="2" spans="2:16" ht="7.5" customHeight="1" thickBot="1">
      <c r="B2" s="9" t="s">
        <v>5</v>
      </c>
      <c r="C2" s="10"/>
      <c r="D2" s="10"/>
      <c r="E2" s="10"/>
      <c r="F2" s="10"/>
      <c r="G2" s="10"/>
      <c r="H2" s="10"/>
      <c r="I2" s="10"/>
      <c r="J2" s="11"/>
      <c r="K2" s="52"/>
      <c r="L2" s="52"/>
    </row>
    <row r="3" spans="2:16" ht="21" thickBot="1">
      <c r="B3" s="12"/>
      <c r="C3" s="165" t="str">
        <f>CONCATENATE("MeeGo: N900 Acceptance Testing Results for ", E5)</f>
        <v>MeeGo: N900 Acceptance Testing Results for 1.0.90.3.20100910.1</v>
      </c>
      <c r="D3" s="166"/>
      <c r="E3" s="166"/>
      <c r="F3" s="166"/>
      <c r="G3" s="166"/>
      <c r="H3" s="166"/>
      <c r="I3" s="167"/>
      <c r="J3" s="13"/>
      <c r="K3" s="52"/>
      <c r="L3" s="52"/>
      <c r="N3" s="39" t="s">
        <v>31</v>
      </c>
      <c r="P3" s="38"/>
    </row>
    <row r="4" spans="2:16" ht="21.75" customHeight="1">
      <c r="B4" s="12"/>
      <c r="C4" s="14"/>
      <c r="D4" s="14"/>
      <c r="E4" s="14"/>
      <c r="F4" s="14"/>
      <c r="G4" s="14"/>
      <c r="H4" s="14"/>
      <c r="I4" s="15"/>
      <c r="J4" s="16"/>
      <c r="N4" s="170" t="s">
        <v>37</v>
      </c>
    </row>
    <row r="5" spans="2:16" ht="15.75" customHeight="1">
      <c r="B5" s="12"/>
      <c r="C5" s="180" t="s">
        <v>20</v>
      </c>
      <c r="D5" s="181"/>
      <c r="E5" s="54" t="s">
        <v>156</v>
      </c>
      <c r="F5" s="14"/>
      <c r="G5" s="180" t="s">
        <v>11</v>
      </c>
      <c r="H5" s="181"/>
      <c r="I5" s="182"/>
      <c r="J5" s="16"/>
      <c r="N5" s="171"/>
    </row>
    <row r="6" spans="2:16" ht="15.75" customHeight="1">
      <c r="B6" s="12"/>
      <c r="C6" s="173" t="s">
        <v>15</v>
      </c>
      <c r="D6" s="184"/>
      <c r="E6" s="47">
        <f>SUM(Results!B16)</f>
        <v>36</v>
      </c>
      <c r="F6" s="14"/>
      <c r="G6" s="41" t="s">
        <v>0</v>
      </c>
      <c r="H6" s="168" t="s">
        <v>55</v>
      </c>
      <c r="I6" s="169"/>
      <c r="J6" s="16"/>
      <c r="N6" s="172" t="s">
        <v>32</v>
      </c>
    </row>
    <row r="7" spans="2:16" ht="15.75" customHeight="1">
      <c r="B7" s="12"/>
      <c r="C7" s="173" t="s">
        <v>16</v>
      </c>
      <c r="D7" s="184"/>
      <c r="E7" s="17">
        <f>Results!B13</f>
        <v>12</v>
      </c>
      <c r="F7" s="14"/>
      <c r="G7" s="40" t="s">
        <v>1</v>
      </c>
      <c r="H7" s="168" t="str">
        <f>Results!B7</f>
        <v>meego-handset-armv7l-n900acceptance-1.0.90.3.20100910.1-raw.tar</v>
      </c>
      <c r="I7" s="169"/>
      <c r="J7" s="16"/>
      <c r="N7" s="172"/>
    </row>
    <row r="8" spans="2:16" ht="15.75" customHeight="1">
      <c r="B8" s="12"/>
      <c r="C8" s="173" t="s">
        <v>17</v>
      </c>
      <c r="D8" s="184"/>
      <c r="E8" s="18">
        <f>Results!B14</f>
        <v>20</v>
      </c>
      <c r="F8" s="14"/>
      <c r="G8" s="175"/>
      <c r="H8" s="176"/>
      <c r="I8" s="177"/>
      <c r="J8" s="16"/>
      <c r="N8" s="172"/>
    </row>
    <row r="9" spans="2:16" ht="15.75" customHeight="1">
      <c r="B9" s="12"/>
      <c r="C9" s="173" t="s">
        <v>18</v>
      </c>
      <c r="D9" s="184"/>
      <c r="E9" s="19">
        <f>Results!B15</f>
        <v>4</v>
      </c>
      <c r="F9" s="14"/>
      <c r="G9" s="49"/>
      <c r="H9" s="178"/>
      <c r="I9" s="179"/>
      <c r="J9" s="16"/>
      <c r="N9" s="172"/>
    </row>
    <row r="10" spans="2:16" ht="15.75" customHeight="1">
      <c r="B10" s="12"/>
      <c r="C10" s="173" t="s">
        <v>19</v>
      </c>
      <c r="D10" s="174"/>
      <c r="E10" s="20">
        <v>0</v>
      </c>
      <c r="F10" s="14"/>
      <c r="G10" s="49"/>
      <c r="H10" s="178"/>
      <c r="I10" s="179"/>
      <c r="J10" s="16"/>
      <c r="N10" s="172"/>
    </row>
    <row r="11" spans="2:16" ht="15.75" customHeight="1">
      <c r="B11" s="12"/>
      <c r="C11" s="185" t="s">
        <v>2</v>
      </c>
      <c r="D11" s="186"/>
      <c r="E11" s="50">
        <f>(E6-E9)/E6</f>
        <v>0.88888888888888884</v>
      </c>
      <c r="F11" s="14"/>
      <c r="G11" s="49"/>
      <c r="H11" s="178"/>
      <c r="I11" s="179"/>
      <c r="J11" s="16"/>
      <c r="K11" s="48"/>
      <c r="N11" s="183" t="s">
        <v>35</v>
      </c>
    </row>
    <row r="12" spans="2:16" ht="15.75" customHeight="1">
      <c r="B12" s="12"/>
      <c r="C12" s="185" t="s">
        <v>3</v>
      </c>
      <c r="D12" s="186"/>
      <c r="E12" s="43">
        <f>E7/E6</f>
        <v>0.33333333333333331</v>
      </c>
      <c r="F12" s="14"/>
      <c r="G12" s="51"/>
      <c r="H12" s="178"/>
      <c r="I12" s="179"/>
      <c r="J12" s="21"/>
      <c r="N12" s="183"/>
    </row>
    <row r="13" spans="2:16" ht="15.75" customHeight="1">
      <c r="B13" s="12"/>
      <c r="C13" s="185" t="s">
        <v>4</v>
      </c>
      <c r="D13" s="186"/>
      <c r="E13" s="43">
        <f>E7/(E6-E9-E10)</f>
        <v>0.375</v>
      </c>
      <c r="F13" s="14"/>
      <c r="G13" s="180" t="s">
        <v>33</v>
      </c>
      <c r="H13" s="181"/>
      <c r="I13" s="182"/>
      <c r="J13" s="21"/>
    </row>
    <row r="14" spans="2:16" ht="15.75" customHeight="1">
      <c r="B14" s="12"/>
      <c r="C14" s="185" t="s">
        <v>21</v>
      </c>
      <c r="D14" s="186"/>
      <c r="E14" s="44">
        <f>(E7+E10)/(E7+E8+E10)</f>
        <v>0.375</v>
      </c>
      <c r="F14" s="14"/>
      <c r="G14" s="41" t="s">
        <v>29</v>
      </c>
      <c r="H14" s="42">
        <v>21</v>
      </c>
      <c r="I14" s="107" t="s">
        <v>28</v>
      </c>
      <c r="J14" s="16"/>
    </row>
    <row r="15" spans="2:16" ht="15.75" customHeight="1">
      <c r="B15" s="12"/>
      <c r="F15" s="48"/>
      <c r="G15" s="40" t="s">
        <v>30</v>
      </c>
      <c r="H15" s="46">
        <v>0</v>
      </c>
      <c r="I15" s="107" t="s">
        <v>28</v>
      </c>
      <c r="J15" s="16"/>
      <c r="N15" s="183" t="s">
        <v>36</v>
      </c>
    </row>
    <row r="16" spans="2:16" ht="15.75" customHeight="1">
      <c r="B16" s="12"/>
      <c r="F16" s="48"/>
      <c r="G16" s="8" t="s">
        <v>34</v>
      </c>
      <c r="J16" s="16"/>
      <c r="N16" s="183"/>
    </row>
    <row r="17" spans="2:10" ht="15.75" customHeight="1">
      <c r="B17" s="12"/>
      <c r="J17" s="16"/>
    </row>
    <row r="18" spans="2:10" ht="15.75" customHeight="1">
      <c r="B18" s="12"/>
      <c r="C18" s="22" t="s">
        <v>27</v>
      </c>
      <c r="D18" s="23"/>
      <c r="E18" s="23"/>
      <c r="F18" s="24"/>
      <c r="G18" s="24"/>
      <c r="H18" s="25"/>
      <c r="I18" s="26"/>
      <c r="J18" s="16"/>
    </row>
    <row r="19" spans="2:10" ht="15.75" customHeight="1">
      <c r="B19" s="12"/>
      <c r="C19" s="187" t="s">
        <v>157</v>
      </c>
      <c r="D19" s="188"/>
      <c r="E19" s="188"/>
      <c r="F19" s="188"/>
      <c r="G19" s="188"/>
      <c r="H19" s="188"/>
      <c r="I19" s="189"/>
      <c r="J19" s="16"/>
    </row>
    <row r="20" spans="2:10" ht="15.75" customHeight="1">
      <c r="B20" s="12"/>
      <c r="C20" s="190"/>
      <c r="D20" s="191"/>
      <c r="E20" s="191"/>
      <c r="F20" s="191"/>
      <c r="G20" s="191"/>
      <c r="H20" s="191"/>
      <c r="I20" s="192"/>
      <c r="J20" s="16"/>
    </row>
    <row r="21" spans="2:10" ht="15.75" customHeight="1">
      <c r="B21" s="12"/>
      <c r="C21" s="190"/>
      <c r="D21" s="191"/>
      <c r="E21" s="191"/>
      <c r="F21" s="191"/>
      <c r="G21" s="191"/>
      <c r="H21" s="191"/>
      <c r="I21" s="192"/>
      <c r="J21" s="16"/>
    </row>
    <row r="22" spans="2:10" ht="15.75" customHeight="1">
      <c r="B22" s="12"/>
      <c r="C22" s="190"/>
      <c r="D22" s="191"/>
      <c r="E22" s="191"/>
      <c r="F22" s="191"/>
      <c r="G22" s="191"/>
      <c r="H22" s="191"/>
      <c r="I22" s="192"/>
      <c r="J22" s="16"/>
    </row>
    <row r="23" spans="2:10" ht="15.75" customHeight="1">
      <c r="B23" s="12"/>
      <c r="C23" s="190"/>
      <c r="D23" s="191"/>
      <c r="E23" s="191"/>
      <c r="F23" s="191"/>
      <c r="G23" s="191"/>
      <c r="H23" s="191"/>
      <c r="I23" s="192"/>
      <c r="J23" s="16"/>
    </row>
    <row r="24" spans="2:10" ht="15.75" customHeight="1">
      <c r="B24" s="12"/>
      <c r="C24" s="190"/>
      <c r="D24" s="191"/>
      <c r="E24" s="191"/>
      <c r="F24" s="191"/>
      <c r="G24" s="191"/>
      <c r="H24" s="191"/>
      <c r="I24" s="192"/>
      <c r="J24" s="16"/>
    </row>
    <row r="25" spans="2:10" ht="15.75" customHeight="1">
      <c r="B25" s="12"/>
      <c r="C25" s="190"/>
      <c r="D25" s="191"/>
      <c r="E25" s="191"/>
      <c r="F25" s="191"/>
      <c r="G25" s="191"/>
      <c r="H25" s="191"/>
      <c r="I25" s="192"/>
      <c r="J25" s="16"/>
    </row>
    <row r="26" spans="2:10" ht="15.75" customHeight="1">
      <c r="B26" s="12"/>
      <c r="C26" s="190"/>
      <c r="D26" s="191"/>
      <c r="E26" s="191"/>
      <c r="F26" s="191"/>
      <c r="G26" s="191"/>
      <c r="H26" s="191"/>
      <c r="I26" s="192"/>
      <c r="J26" s="16"/>
    </row>
    <row r="27" spans="2:10" ht="15.75" customHeight="1">
      <c r="B27" s="12"/>
      <c r="C27" s="190"/>
      <c r="D27" s="191"/>
      <c r="E27" s="191"/>
      <c r="F27" s="191"/>
      <c r="G27" s="191"/>
      <c r="H27" s="191"/>
      <c r="I27" s="192"/>
      <c r="J27" s="16"/>
    </row>
    <row r="28" spans="2:10" ht="15.75" customHeight="1">
      <c r="B28" s="12"/>
      <c r="C28" s="190"/>
      <c r="D28" s="191"/>
      <c r="E28" s="191"/>
      <c r="F28" s="191"/>
      <c r="G28" s="191"/>
      <c r="H28" s="191"/>
      <c r="I28" s="192"/>
      <c r="J28" s="16"/>
    </row>
    <row r="29" spans="2:10" ht="15.75" customHeight="1">
      <c r="B29" s="12"/>
      <c r="C29" s="190"/>
      <c r="D29" s="191"/>
      <c r="E29" s="191"/>
      <c r="F29" s="191"/>
      <c r="G29" s="191"/>
      <c r="H29" s="191"/>
      <c r="I29" s="192"/>
      <c r="J29" s="16"/>
    </row>
    <row r="30" spans="2:10" ht="15.75" customHeight="1">
      <c r="B30" s="12"/>
      <c r="C30" s="190"/>
      <c r="D30" s="191"/>
      <c r="E30" s="191"/>
      <c r="F30" s="191"/>
      <c r="G30" s="191"/>
      <c r="H30" s="191"/>
      <c r="I30" s="192"/>
      <c r="J30" s="16"/>
    </row>
    <row r="31" spans="2:10" ht="15.75" customHeight="1">
      <c r="B31" s="12"/>
      <c r="C31" s="190"/>
      <c r="D31" s="191"/>
      <c r="E31" s="191"/>
      <c r="F31" s="191"/>
      <c r="G31" s="191"/>
      <c r="H31" s="191"/>
      <c r="I31" s="192"/>
      <c r="J31" s="16"/>
    </row>
    <row r="32" spans="2:10" ht="15.75" customHeight="1">
      <c r="B32" s="12"/>
      <c r="C32" s="190"/>
      <c r="D32" s="191"/>
      <c r="E32" s="191"/>
      <c r="F32" s="191"/>
      <c r="G32" s="191"/>
      <c r="H32" s="191"/>
      <c r="I32" s="192"/>
      <c r="J32" s="16"/>
    </row>
    <row r="33" spans="2:10">
      <c r="B33" s="12"/>
      <c r="C33" s="193"/>
      <c r="D33" s="194"/>
      <c r="E33" s="194"/>
      <c r="F33" s="194"/>
      <c r="G33" s="194"/>
      <c r="H33" s="194"/>
      <c r="I33" s="195"/>
      <c r="J33" s="16"/>
    </row>
    <row r="34" spans="2:10">
      <c r="B34" s="12"/>
      <c r="G34" s="45"/>
      <c r="H34" s="45"/>
      <c r="I34" s="53"/>
      <c r="J34" s="16"/>
    </row>
    <row r="35" spans="2:10" ht="12.75" customHeight="1">
      <c r="B35" s="12"/>
      <c r="C35" s="197"/>
      <c r="D35" s="198"/>
      <c r="E35" s="198"/>
      <c r="F35" s="201"/>
      <c r="G35" s="201"/>
      <c r="H35" s="201"/>
      <c r="I35" s="201"/>
      <c r="J35" s="16"/>
    </row>
    <row r="36" spans="2:10" ht="24.75" customHeight="1">
      <c r="B36" s="12"/>
      <c r="C36" s="197"/>
      <c r="D36" s="198"/>
      <c r="E36" s="198"/>
      <c r="F36" s="201"/>
      <c r="G36" s="201"/>
      <c r="H36" s="201"/>
      <c r="I36" s="201"/>
      <c r="J36" s="16"/>
    </row>
    <row r="37" spans="2:10">
      <c r="B37" s="12"/>
      <c r="G37" s="14"/>
      <c r="H37" s="14"/>
      <c r="I37" s="14"/>
      <c r="J37" s="16"/>
    </row>
    <row r="38" spans="2:10" ht="300" customHeight="1">
      <c r="B38" s="27"/>
      <c r="C38" s="200"/>
      <c r="D38" s="200"/>
      <c r="E38" s="200"/>
      <c r="F38" s="200"/>
      <c r="G38" s="200"/>
      <c r="H38" s="200"/>
      <c r="I38" s="28"/>
      <c r="J38" s="29"/>
    </row>
    <row r="39" spans="2:10">
      <c r="B39" s="27"/>
      <c r="C39" s="28"/>
      <c r="D39" s="28"/>
      <c r="E39" s="28"/>
      <c r="F39" s="28"/>
      <c r="G39" s="28"/>
      <c r="H39" s="28"/>
      <c r="I39" s="28"/>
      <c r="J39" s="29"/>
    </row>
    <row r="40" spans="2:10">
      <c r="B40" s="27"/>
      <c r="C40" s="199" t="s">
        <v>10</v>
      </c>
      <c r="D40" s="199"/>
      <c r="E40" s="199"/>
      <c r="F40" s="199"/>
      <c r="G40" s="199"/>
      <c r="H40" s="199"/>
      <c r="I40" s="28"/>
      <c r="J40" s="29"/>
    </row>
    <row r="41" spans="2:10">
      <c r="B41" s="27"/>
      <c r="C41" s="55" t="s">
        <v>38</v>
      </c>
      <c r="D41" s="28" t="s">
        <v>42</v>
      </c>
      <c r="E41" s="28"/>
      <c r="F41" s="28"/>
      <c r="G41" s="28"/>
      <c r="H41" s="28"/>
      <c r="I41" s="28"/>
      <c r="J41" s="29"/>
    </row>
    <row r="42" spans="2:10">
      <c r="B42" s="27"/>
      <c r="C42" s="55" t="s">
        <v>39</v>
      </c>
      <c r="D42" s="28" t="s">
        <v>43</v>
      </c>
      <c r="E42" s="28"/>
      <c r="F42" s="28"/>
      <c r="G42" s="28"/>
      <c r="H42" s="28"/>
      <c r="I42" s="28"/>
      <c r="J42" s="29"/>
    </row>
    <row r="43" spans="2:10">
      <c r="B43" s="27"/>
      <c r="C43" s="55" t="s">
        <v>40</v>
      </c>
      <c r="D43" s="28" t="s">
        <v>44</v>
      </c>
      <c r="E43" s="28"/>
      <c r="F43" s="28"/>
      <c r="G43" s="28"/>
      <c r="H43" s="28"/>
      <c r="I43" s="28"/>
      <c r="J43" s="29"/>
    </row>
    <row r="44" spans="2:10">
      <c r="B44" s="27"/>
      <c r="C44" s="55" t="s">
        <v>41</v>
      </c>
      <c r="D44" s="28" t="s">
        <v>45</v>
      </c>
      <c r="E44" s="28"/>
      <c r="F44" s="28"/>
      <c r="G44" s="28"/>
      <c r="H44" s="28"/>
      <c r="I44" s="28"/>
      <c r="J44" s="29"/>
    </row>
    <row r="45" spans="2:10">
      <c r="B45" s="27"/>
      <c r="C45" s="56"/>
      <c r="I45" s="30"/>
      <c r="J45" s="29"/>
    </row>
    <row r="46" spans="2:10" ht="12.75" customHeight="1">
      <c r="B46" s="12"/>
      <c r="C46" s="31" t="s">
        <v>12</v>
      </c>
      <c r="D46" s="14" t="s">
        <v>23</v>
      </c>
      <c r="E46" s="14"/>
      <c r="F46" s="14"/>
      <c r="G46" s="14"/>
      <c r="H46" s="14"/>
      <c r="I46" s="14"/>
      <c r="J46" s="16"/>
    </row>
    <row r="47" spans="2:10" ht="12.75" customHeight="1">
      <c r="B47" s="12"/>
      <c r="C47" s="32" t="s">
        <v>13</v>
      </c>
      <c r="D47" s="196" t="s">
        <v>22</v>
      </c>
      <c r="E47" s="196"/>
      <c r="F47" s="196"/>
      <c r="G47" s="196"/>
      <c r="H47" s="196"/>
      <c r="I47" s="33"/>
      <c r="J47" s="34"/>
    </row>
    <row r="48" spans="2:10" ht="12.75" customHeight="1">
      <c r="B48" s="12"/>
      <c r="C48" s="32" t="s">
        <v>24</v>
      </c>
      <c r="D48" s="196" t="s">
        <v>25</v>
      </c>
      <c r="E48" s="196"/>
      <c r="F48" s="196"/>
      <c r="G48" s="196"/>
      <c r="H48" s="196"/>
      <c r="I48" s="33"/>
      <c r="J48" s="34"/>
    </row>
    <row r="49" spans="1:10" ht="54.75" customHeight="1">
      <c r="B49" s="12"/>
      <c r="C49" s="32" t="s">
        <v>14</v>
      </c>
      <c r="D49" s="196" t="s">
        <v>26</v>
      </c>
      <c r="E49" s="196"/>
      <c r="F49" s="196"/>
      <c r="G49" s="196"/>
      <c r="H49" s="196"/>
      <c r="I49" s="33"/>
      <c r="J49" s="34"/>
    </row>
    <row r="50" spans="1:10" ht="13.5" thickBot="1">
      <c r="A50" s="16"/>
      <c r="B50" s="35"/>
      <c r="C50" s="36"/>
      <c r="D50" s="36"/>
      <c r="E50" s="36"/>
      <c r="F50" s="36"/>
      <c r="G50" s="36"/>
      <c r="H50" s="36"/>
      <c r="I50" s="36"/>
      <c r="J50" s="37"/>
    </row>
  </sheetData>
  <mergeCells count="34">
    <mergeCell ref="C19:I33"/>
    <mergeCell ref="D48:H48"/>
    <mergeCell ref="C35:E35"/>
    <mergeCell ref="C36:E36"/>
    <mergeCell ref="D49:H49"/>
    <mergeCell ref="C40:H40"/>
    <mergeCell ref="C38:H38"/>
    <mergeCell ref="D47:H47"/>
    <mergeCell ref="F35:I35"/>
    <mergeCell ref="F36:I36"/>
    <mergeCell ref="N15:N16"/>
    <mergeCell ref="C6:D6"/>
    <mergeCell ref="C7:D7"/>
    <mergeCell ref="N11:N12"/>
    <mergeCell ref="H12:I12"/>
    <mergeCell ref="C11:D11"/>
    <mergeCell ref="C13:D13"/>
    <mergeCell ref="C14:D14"/>
    <mergeCell ref="G13:I13"/>
    <mergeCell ref="H11:I11"/>
    <mergeCell ref="C12:D12"/>
    <mergeCell ref="C8:D8"/>
    <mergeCell ref="C9:D9"/>
    <mergeCell ref="C3:I3"/>
    <mergeCell ref="H6:I6"/>
    <mergeCell ref="H7:I7"/>
    <mergeCell ref="N4:N5"/>
    <mergeCell ref="N6:N10"/>
    <mergeCell ref="C10:D10"/>
    <mergeCell ref="G8:I8"/>
    <mergeCell ref="H9:I9"/>
    <mergeCell ref="H10:I10"/>
    <mergeCell ref="C5:D5"/>
    <mergeCell ref="G5:I5"/>
  </mergeCells>
  <phoneticPr fontId="3" type="noConversion"/>
  <hyperlinks>
    <hyperlink ref="I14" r:id="rId1"/>
  </hyperlinks>
  <pageMargins left="0.23622047244094491" right="0.23622047244094491" top="0.74803149606299213" bottom="0.74803149606299213" header="0.31496062992125984" footer="0.31496062992125984"/>
  <pageSetup paperSize="9" scale="50" firstPageNumber="0" orientation="portrait"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sheetPr codeName="Sheet3"/>
  <dimension ref="A1:Y120"/>
  <sheetViews>
    <sheetView tabSelected="1" zoomScale="90" zoomScaleNormal="90" workbookViewId="0">
      <pane ySplit="1" topLeftCell="A11" activePane="bottomLeft" state="frozen"/>
      <selection pane="bottomLeft" activeCell="B28" sqref="B28"/>
    </sheetView>
  </sheetViews>
  <sheetFormatPr defaultColWidth="11.5703125" defaultRowHeight="12.75"/>
  <cols>
    <col min="1" max="1" width="20.140625" style="1" customWidth="1"/>
    <col min="2" max="2" width="83.7109375" style="1" customWidth="1"/>
    <col min="3" max="3" width="12.5703125" style="1" customWidth="1"/>
    <col min="4" max="4" width="38.5703125" style="4" customWidth="1"/>
    <col min="5" max="5" width="11.7109375" style="4" customWidth="1"/>
    <col min="6" max="6" width="10.42578125" style="4" customWidth="1"/>
    <col min="7" max="7" width="11.140625" style="1" customWidth="1"/>
    <col min="8" max="8" width="12" style="1" customWidth="1"/>
    <col min="9" max="9" width="12.5703125" style="1" customWidth="1"/>
    <col min="10" max="10" width="11.85546875" style="7" customWidth="1"/>
    <col min="11" max="11" width="14" style="5" customWidth="1"/>
    <col min="12" max="12" width="13.140625" style="6" customWidth="1"/>
    <col min="13" max="13" width="16.28515625" style="1" customWidth="1"/>
    <col min="14" max="14" width="17.85546875" style="1" customWidth="1"/>
    <col min="15" max="15" width="13.42578125" style="1" customWidth="1"/>
    <col min="16" max="16" width="12.140625" style="1" customWidth="1"/>
    <col min="17" max="20" width="11.5703125" style="1" customWidth="1"/>
    <col min="21" max="21" width="12.140625" style="1" customWidth="1"/>
    <col min="22" max="25" width="11.5703125" style="1" customWidth="1"/>
    <col min="26" max="26" width="14.28515625" style="1" customWidth="1"/>
    <col min="27" max="27" width="13.5703125" style="1" customWidth="1"/>
    <col min="28" max="28" width="13.7109375" style="1" customWidth="1"/>
    <col min="29" max="16384" width="11.5703125" style="1"/>
  </cols>
  <sheetData>
    <row r="1" spans="1:25" ht="15.75">
      <c r="A1" s="76" t="s">
        <v>5</v>
      </c>
      <c r="B1" s="77"/>
      <c r="C1" s="76"/>
      <c r="D1" s="76"/>
      <c r="E1" s="76"/>
      <c r="F1" s="76"/>
      <c r="G1" s="76"/>
      <c r="H1" s="78"/>
      <c r="I1" s="76"/>
      <c r="J1" s="76"/>
      <c r="K1" s="76"/>
      <c r="L1" s="76"/>
      <c r="M1" s="76"/>
      <c r="N1" s="76"/>
      <c r="O1" s="76"/>
    </row>
    <row r="2" spans="1:25" ht="26.25">
      <c r="A2" s="79" t="str">
        <f>CONCATENATE(B8," for ", B5)</f>
        <v>Exploratory Testing for MeeGo/N900</v>
      </c>
      <c r="B2" s="80"/>
      <c r="C2" s="76"/>
      <c r="D2" s="76"/>
      <c r="E2" s="76"/>
      <c r="F2" s="76"/>
      <c r="G2" s="76"/>
      <c r="H2" s="78"/>
      <c r="I2" s="76"/>
      <c r="J2" s="76"/>
      <c r="K2" s="76"/>
      <c r="L2" s="76"/>
      <c r="M2" s="76"/>
      <c r="N2" s="76"/>
      <c r="O2" s="76"/>
      <c r="U2" s="2"/>
      <c r="V2" s="3"/>
      <c r="W2" s="3"/>
      <c r="X2" s="3"/>
      <c r="Y2" s="3"/>
    </row>
    <row r="3" spans="1:25" ht="16.5" thickBot="1">
      <c r="A3" s="81"/>
      <c r="B3" s="80"/>
      <c r="C3" s="76"/>
      <c r="D3" s="76"/>
      <c r="E3" s="76"/>
      <c r="F3" s="76"/>
      <c r="G3" s="76"/>
      <c r="H3" s="78"/>
      <c r="I3" s="76"/>
      <c r="J3" s="76"/>
      <c r="K3" s="76"/>
      <c r="L3" s="76"/>
      <c r="M3" s="76"/>
      <c r="N3" s="76"/>
      <c r="O3" s="76"/>
    </row>
    <row r="4" spans="1:25" ht="16.5" thickBot="1">
      <c r="A4" s="85" t="s">
        <v>48</v>
      </c>
      <c r="B4" s="86"/>
      <c r="C4" s="76"/>
      <c r="D4" s="203" t="s">
        <v>46</v>
      </c>
      <c r="E4" s="203"/>
      <c r="F4" s="203"/>
      <c r="G4" s="203"/>
      <c r="H4" s="203"/>
      <c r="I4" s="203"/>
      <c r="J4" s="203"/>
      <c r="K4" s="203"/>
      <c r="L4" s="203"/>
      <c r="M4" s="203"/>
      <c r="N4" s="203"/>
      <c r="O4" s="203"/>
      <c r="P4" s="203"/>
      <c r="Q4" s="203"/>
      <c r="R4" s="203"/>
      <c r="S4" s="203"/>
      <c r="T4" s="203"/>
      <c r="U4" s="203"/>
      <c r="V4" s="203"/>
      <c r="W4" s="203"/>
      <c r="X4" s="203"/>
      <c r="Y4" s="203"/>
    </row>
    <row r="5" spans="1:25" ht="15.75">
      <c r="A5" s="87" t="s">
        <v>49</v>
      </c>
      <c r="B5" s="88" t="s">
        <v>57</v>
      </c>
      <c r="C5" s="76"/>
      <c r="D5" s="57" t="s">
        <v>61</v>
      </c>
      <c r="E5" s="115" t="s">
        <v>127</v>
      </c>
      <c r="F5" s="115" t="s">
        <v>133</v>
      </c>
      <c r="G5" s="59">
        <v>20100819</v>
      </c>
      <c r="H5" s="59">
        <v>20100823</v>
      </c>
      <c r="I5" s="59">
        <v>20100824</v>
      </c>
      <c r="J5" s="58">
        <v>20100825</v>
      </c>
      <c r="K5" s="58">
        <v>20100826</v>
      </c>
      <c r="L5" s="58">
        <v>20100827</v>
      </c>
      <c r="M5" s="58">
        <v>20100830</v>
      </c>
      <c r="N5" s="58">
        <v>20100831</v>
      </c>
      <c r="O5" s="58">
        <v>20100901</v>
      </c>
      <c r="P5" s="58">
        <v>20100902</v>
      </c>
      <c r="Q5" s="58">
        <v>20100903</v>
      </c>
      <c r="R5" s="58">
        <v>20100906</v>
      </c>
      <c r="S5" s="58">
        <v>20100907</v>
      </c>
      <c r="T5" s="58">
        <v>20100908</v>
      </c>
      <c r="U5" s="58">
        <v>20100909</v>
      </c>
      <c r="V5" s="58">
        <v>20100910</v>
      </c>
      <c r="W5" s="58"/>
      <c r="X5" s="58"/>
      <c r="Y5" s="58"/>
    </row>
    <row r="6" spans="1:25" ht="15.75">
      <c r="A6" s="89" t="s">
        <v>0</v>
      </c>
      <c r="B6" s="90" t="s">
        <v>55</v>
      </c>
      <c r="C6" s="76"/>
      <c r="D6" s="60" t="s">
        <v>6</v>
      </c>
      <c r="E6" s="61">
        <v>11</v>
      </c>
      <c r="F6" s="62">
        <v>11</v>
      </c>
      <c r="G6" s="61">
        <v>12</v>
      </c>
      <c r="H6" s="61">
        <v>14</v>
      </c>
      <c r="I6" s="61">
        <v>14</v>
      </c>
      <c r="J6" s="61">
        <v>13</v>
      </c>
      <c r="K6" s="61">
        <v>13</v>
      </c>
      <c r="L6" s="61">
        <v>13</v>
      </c>
      <c r="M6" s="61">
        <v>15</v>
      </c>
      <c r="N6" s="61">
        <v>14</v>
      </c>
      <c r="O6" s="61">
        <v>14</v>
      </c>
      <c r="P6" s="61">
        <v>13</v>
      </c>
      <c r="Q6" s="61">
        <v>13</v>
      </c>
      <c r="R6" s="61">
        <v>12</v>
      </c>
      <c r="S6" s="61">
        <v>13</v>
      </c>
      <c r="T6" s="61">
        <v>13</v>
      </c>
      <c r="U6" s="61">
        <v>12</v>
      </c>
      <c r="V6" s="61">
        <v>12</v>
      </c>
      <c r="W6" s="61"/>
      <c r="X6" s="61"/>
      <c r="Y6" s="61"/>
    </row>
    <row r="7" spans="1:25" ht="33.75" customHeight="1">
      <c r="A7" s="89" t="s">
        <v>1</v>
      </c>
      <c r="B7" s="90" t="s">
        <v>155</v>
      </c>
      <c r="C7" s="76"/>
      <c r="D7" s="60" t="s">
        <v>7</v>
      </c>
      <c r="E7" s="63">
        <v>20</v>
      </c>
      <c r="F7" s="64">
        <v>20</v>
      </c>
      <c r="G7" s="63">
        <v>20</v>
      </c>
      <c r="H7" s="63">
        <v>18</v>
      </c>
      <c r="I7" s="63">
        <v>18</v>
      </c>
      <c r="J7" s="63">
        <v>20</v>
      </c>
      <c r="K7" s="63">
        <v>20</v>
      </c>
      <c r="L7" s="63">
        <v>20</v>
      </c>
      <c r="M7" s="63">
        <v>18</v>
      </c>
      <c r="N7" s="63">
        <v>19</v>
      </c>
      <c r="O7" s="63">
        <v>19</v>
      </c>
      <c r="P7" s="63">
        <v>20</v>
      </c>
      <c r="Q7" s="63">
        <v>20</v>
      </c>
      <c r="R7" s="63">
        <v>20</v>
      </c>
      <c r="S7" s="63">
        <v>20</v>
      </c>
      <c r="T7" s="63">
        <v>20</v>
      </c>
      <c r="U7" s="63">
        <v>20</v>
      </c>
      <c r="V7" s="63">
        <v>20</v>
      </c>
      <c r="W7" s="63"/>
      <c r="X7" s="63"/>
      <c r="Y7" s="63"/>
    </row>
    <row r="8" spans="1:25" ht="27" customHeight="1">
      <c r="A8" s="89" t="s">
        <v>50</v>
      </c>
      <c r="B8" s="91" t="s">
        <v>58</v>
      </c>
      <c r="C8" s="76"/>
      <c r="D8" s="60" t="s">
        <v>8</v>
      </c>
      <c r="E8" s="65">
        <v>4</v>
      </c>
      <c r="F8" s="66">
        <v>5</v>
      </c>
      <c r="G8" s="65">
        <v>4</v>
      </c>
      <c r="H8" s="65">
        <v>4</v>
      </c>
      <c r="I8" s="65">
        <v>4</v>
      </c>
      <c r="J8" s="65">
        <v>3</v>
      </c>
      <c r="K8" s="65">
        <v>3</v>
      </c>
      <c r="L8" s="65">
        <v>3</v>
      </c>
      <c r="M8" s="65">
        <v>3</v>
      </c>
      <c r="N8" s="65">
        <v>3</v>
      </c>
      <c r="O8" s="65">
        <v>3</v>
      </c>
      <c r="P8" s="65">
        <v>3</v>
      </c>
      <c r="Q8" s="65">
        <v>3</v>
      </c>
      <c r="R8" s="65">
        <v>4</v>
      </c>
      <c r="S8" s="65">
        <v>3</v>
      </c>
      <c r="T8" s="65">
        <v>3</v>
      </c>
      <c r="U8" s="65">
        <v>4</v>
      </c>
      <c r="V8" s="65">
        <v>4</v>
      </c>
      <c r="W8" s="65"/>
      <c r="X8" s="65"/>
      <c r="Y8" s="65"/>
    </row>
    <row r="9" spans="1:25" ht="16.5" thickBot="1">
      <c r="A9" s="92" t="s">
        <v>63</v>
      </c>
      <c r="B9" s="93" t="str">
        <f>B12</f>
        <v>9.10</v>
      </c>
      <c r="C9" s="76"/>
      <c r="D9" s="60" t="s">
        <v>60</v>
      </c>
      <c r="E9" s="67">
        <f t="shared" ref="E9:N9" si="0">E6+E7</f>
        <v>31</v>
      </c>
      <c r="F9" s="67">
        <f t="shared" si="0"/>
        <v>31</v>
      </c>
      <c r="G9" s="67">
        <f>G6+G7</f>
        <v>32</v>
      </c>
      <c r="H9" s="67">
        <f t="shared" si="0"/>
        <v>32</v>
      </c>
      <c r="I9" s="67">
        <f t="shared" si="0"/>
        <v>32</v>
      </c>
      <c r="J9" s="67">
        <f t="shared" si="0"/>
        <v>33</v>
      </c>
      <c r="K9" s="67">
        <f t="shared" si="0"/>
        <v>33</v>
      </c>
      <c r="L9" s="67">
        <f t="shared" si="0"/>
        <v>33</v>
      </c>
      <c r="M9" s="67">
        <f t="shared" si="0"/>
        <v>33</v>
      </c>
      <c r="N9" s="67">
        <f t="shared" si="0"/>
        <v>33</v>
      </c>
      <c r="O9" s="67">
        <f t="shared" ref="O9:Y9" si="1">O6+O7</f>
        <v>33</v>
      </c>
      <c r="P9" s="67">
        <f t="shared" ref="P9:Q9" si="2">P6+P7</f>
        <v>33</v>
      </c>
      <c r="Q9" s="67">
        <f t="shared" si="2"/>
        <v>33</v>
      </c>
      <c r="R9" s="67">
        <f t="shared" si="1"/>
        <v>32</v>
      </c>
      <c r="S9" s="67">
        <f t="shared" si="1"/>
        <v>33</v>
      </c>
      <c r="T9" s="67">
        <f t="shared" si="1"/>
        <v>33</v>
      </c>
      <c r="U9" s="67">
        <f t="shared" si="1"/>
        <v>32</v>
      </c>
      <c r="V9" s="67">
        <f t="shared" ref="V9" si="3">V6+V7</f>
        <v>32</v>
      </c>
      <c r="W9" s="67">
        <f t="shared" si="1"/>
        <v>0</v>
      </c>
      <c r="X9" s="67">
        <f t="shared" si="1"/>
        <v>0</v>
      </c>
      <c r="Y9" s="67">
        <f t="shared" si="1"/>
        <v>0</v>
      </c>
    </row>
    <row r="10" spans="1:25" ht="16.5" thickBot="1">
      <c r="A10" s="94"/>
      <c r="B10" s="95"/>
      <c r="C10" s="82"/>
      <c r="D10" s="60" t="s">
        <v>9</v>
      </c>
      <c r="E10" s="67">
        <f t="shared" ref="E10:Y10" si="4">E9+E8</f>
        <v>35</v>
      </c>
      <c r="F10" s="67">
        <f t="shared" si="4"/>
        <v>36</v>
      </c>
      <c r="G10" s="67">
        <f t="shared" si="4"/>
        <v>36</v>
      </c>
      <c r="H10" s="67">
        <f t="shared" si="4"/>
        <v>36</v>
      </c>
      <c r="I10" s="67">
        <f t="shared" si="4"/>
        <v>36</v>
      </c>
      <c r="J10" s="67">
        <f t="shared" si="4"/>
        <v>36</v>
      </c>
      <c r="K10" s="67">
        <f t="shared" si="4"/>
        <v>36</v>
      </c>
      <c r="L10" s="67">
        <f t="shared" si="4"/>
        <v>36</v>
      </c>
      <c r="M10" s="67">
        <f t="shared" si="4"/>
        <v>36</v>
      </c>
      <c r="N10" s="67">
        <f t="shared" si="4"/>
        <v>36</v>
      </c>
      <c r="O10" s="67">
        <f t="shared" si="4"/>
        <v>36</v>
      </c>
      <c r="P10" s="67">
        <f t="shared" ref="P10:Q10" si="5">P9+P8</f>
        <v>36</v>
      </c>
      <c r="Q10" s="67">
        <f t="shared" si="5"/>
        <v>36</v>
      </c>
      <c r="R10" s="67">
        <f t="shared" si="4"/>
        <v>36</v>
      </c>
      <c r="S10" s="67">
        <f t="shared" si="4"/>
        <v>36</v>
      </c>
      <c r="T10" s="67">
        <f t="shared" si="4"/>
        <v>36</v>
      </c>
      <c r="U10" s="67">
        <f t="shared" si="4"/>
        <v>36</v>
      </c>
      <c r="V10" s="67">
        <f t="shared" ref="V10" si="6">V9+V8</f>
        <v>36</v>
      </c>
      <c r="W10" s="67">
        <f t="shared" si="4"/>
        <v>0</v>
      </c>
      <c r="X10" s="67">
        <f t="shared" si="4"/>
        <v>0</v>
      </c>
      <c r="Y10" s="67">
        <f t="shared" si="4"/>
        <v>0</v>
      </c>
    </row>
    <row r="11" spans="1:25" ht="16.5" thickBot="1">
      <c r="A11" s="96" t="s">
        <v>51</v>
      </c>
      <c r="B11" s="97"/>
      <c r="C11" s="82"/>
      <c r="D11" s="60" t="s">
        <v>105</v>
      </c>
      <c r="E11" s="68">
        <f t="shared" ref="E11:Y11" si="7">E6/E10</f>
        <v>0.31428571428571428</v>
      </c>
      <c r="F11" s="68">
        <f t="shared" si="7"/>
        <v>0.30555555555555558</v>
      </c>
      <c r="G11" s="68">
        <f t="shared" si="7"/>
        <v>0.33333333333333331</v>
      </c>
      <c r="H11" s="68">
        <f t="shared" si="7"/>
        <v>0.3888888888888889</v>
      </c>
      <c r="I11" s="68">
        <f t="shared" si="7"/>
        <v>0.3888888888888889</v>
      </c>
      <c r="J11" s="68">
        <f t="shared" si="7"/>
        <v>0.3611111111111111</v>
      </c>
      <c r="K11" s="68">
        <f t="shared" si="7"/>
        <v>0.3611111111111111</v>
      </c>
      <c r="L11" s="68">
        <f t="shared" si="7"/>
        <v>0.3611111111111111</v>
      </c>
      <c r="M11" s="68">
        <f t="shared" si="7"/>
        <v>0.41666666666666669</v>
      </c>
      <c r="N11" s="68">
        <f t="shared" si="7"/>
        <v>0.3888888888888889</v>
      </c>
      <c r="O11" s="68">
        <f t="shared" si="7"/>
        <v>0.3888888888888889</v>
      </c>
      <c r="P11" s="68">
        <f t="shared" ref="P11:Q11" si="8">P6/P10</f>
        <v>0.3611111111111111</v>
      </c>
      <c r="Q11" s="68">
        <f t="shared" si="8"/>
        <v>0.3611111111111111</v>
      </c>
      <c r="R11" s="68">
        <f t="shared" si="7"/>
        <v>0.33333333333333331</v>
      </c>
      <c r="S11" s="68">
        <f t="shared" si="7"/>
        <v>0.3611111111111111</v>
      </c>
      <c r="T11" s="68">
        <f t="shared" si="7"/>
        <v>0.3611111111111111</v>
      </c>
      <c r="U11" s="68">
        <f t="shared" si="7"/>
        <v>0.33333333333333331</v>
      </c>
      <c r="V11" s="68">
        <f t="shared" ref="V11" si="9">V6/V10</f>
        <v>0.33333333333333331</v>
      </c>
      <c r="W11" s="68" t="e">
        <f t="shared" si="7"/>
        <v>#DIV/0!</v>
      </c>
      <c r="X11" s="68" t="e">
        <f t="shared" si="7"/>
        <v>#DIV/0!</v>
      </c>
      <c r="Y11" s="68" t="e">
        <f t="shared" si="7"/>
        <v>#DIV/0!</v>
      </c>
    </row>
    <row r="12" spans="1:25" ht="15.75">
      <c r="A12" s="98" t="s">
        <v>64</v>
      </c>
      <c r="B12" s="150" t="s">
        <v>154</v>
      </c>
      <c r="C12" s="82"/>
      <c r="D12" s="60"/>
      <c r="E12" s="68"/>
      <c r="F12" s="68"/>
      <c r="G12" s="68"/>
      <c r="H12" s="68"/>
      <c r="I12" s="68"/>
      <c r="J12" s="68"/>
      <c r="K12" s="68"/>
      <c r="L12" s="68"/>
      <c r="M12" s="68"/>
      <c r="N12" s="68"/>
      <c r="O12" s="68"/>
      <c r="P12" s="68"/>
      <c r="Q12" s="68"/>
      <c r="R12" s="68"/>
      <c r="S12" s="68"/>
      <c r="T12" s="68"/>
      <c r="U12" s="68"/>
      <c r="V12" s="68"/>
      <c r="W12" s="68"/>
      <c r="X12" s="68"/>
      <c r="Y12" s="68"/>
    </row>
    <row r="13" spans="1:25" ht="15.75">
      <c r="A13" s="100" t="s">
        <v>6</v>
      </c>
      <c r="B13" s="101">
        <v>12</v>
      </c>
      <c r="C13" s="82"/>
      <c r="D13" s="60" t="s">
        <v>47</v>
      </c>
      <c r="E13" s="68">
        <f t="shared" ref="E13:Y13" si="10">E6/E9</f>
        <v>0.35483870967741937</v>
      </c>
      <c r="F13" s="68">
        <f t="shared" si="10"/>
        <v>0.35483870967741937</v>
      </c>
      <c r="G13" s="68">
        <f t="shared" si="10"/>
        <v>0.375</v>
      </c>
      <c r="H13" s="68">
        <f t="shared" si="10"/>
        <v>0.4375</v>
      </c>
      <c r="I13" s="68">
        <f t="shared" si="10"/>
        <v>0.4375</v>
      </c>
      <c r="J13" s="68">
        <f t="shared" si="10"/>
        <v>0.39393939393939392</v>
      </c>
      <c r="K13" s="68">
        <f t="shared" si="10"/>
        <v>0.39393939393939392</v>
      </c>
      <c r="L13" s="68">
        <f t="shared" si="10"/>
        <v>0.39393939393939392</v>
      </c>
      <c r="M13" s="68">
        <f t="shared" si="10"/>
        <v>0.45454545454545453</v>
      </c>
      <c r="N13" s="68">
        <f t="shared" si="10"/>
        <v>0.42424242424242425</v>
      </c>
      <c r="O13" s="68">
        <f t="shared" si="10"/>
        <v>0.42424242424242425</v>
      </c>
      <c r="P13" s="68">
        <f t="shared" ref="P13:Q13" si="11">P6/P9</f>
        <v>0.39393939393939392</v>
      </c>
      <c r="Q13" s="68">
        <f t="shared" si="11"/>
        <v>0.39393939393939392</v>
      </c>
      <c r="R13" s="68">
        <f t="shared" si="10"/>
        <v>0.375</v>
      </c>
      <c r="S13" s="68">
        <f t="shared" si="10"/>
        <v>0.39393939393939392</v>
      </c>
      <c r="T13" s="68">
        <f t="shared" si="10"/>
        <v>0.39393939393939392</v>
      </c>
      <c r="U13" s="68">
        <f t="shared" si="10"/>
        <v>0.375</v>
      </c>
      <c r="V13" s="68">
        <f t="shared" ref="V13" si="12">V6/V9</f>
        <v>0.375</v>
      </c>
      <c r="W13" s="68" t="e">
        <f t="shared" si="10"/>
        <v>#DIV/0!</v>
      </c>
      <c r="X13" s="68" t="e">
        <f t="shared" si="10"/>
        <v>#DIV/0!</v>
      </c>
      <c r="Y13" s="68" t="e">
        <f t="shared" si="10"/>
        <v>#DIV/0!</v>
      </c>
    </row>
    <row r="14" spans="1:25" ht="15.75">
      <c r="A14" s="100" t="s">
        <v>7</v>
      </c>
      <c r="B14" s="102">
        <v>20</v>
      </c>
      <c r="C14" s="82"/>
      <c r="D14" s="60" t="s">
        <v>104</v>
      </c>
      <c r="E14" s="68">
        <f t="shared" ref="E14:N14" si="13">E9/E10</f>
        <v>0.88571428571428568</v>
      </c>
      <c r="F14" s="68">
        <f t="shared" si="13"/>
        <v>0.86111111111111116</v>
      </c>
      <c r="G14" s="68">
        <f t="shared" si="13"/>
        <v>0.88888888888888884</v>
      </c>
      <c r="H14" s="68">
        <f t="shared" si="13"/>
        <v>0.88888888888888884</v>
      </c>
      <c r="I14" s="68">
        <f t="shared" si="13"/>
        <v>0.88888888888888884</v>
      </c>
      <c r="J14" s="68">
        <f t="shared" si="13"/>
        <v>0.91666666666666663</v>
      </c>
      <c r="K14" s="68">
        <f t="shared" si="13"/>
        <v>0.91666666666666663</v>
      </c>
      <c r="L14" s="68">
        <f t="shared" si="13"/>
        <v>0.91666666666666663</v>
      </c>
      <c r="M14" s="68">
        <f t="shared" si="13"/>
        <v>0.91666666666666663</v>
      </c>
      <c r="N14" s="68">
        <f t="shared" si="13"/>
        <v>0.91666666666666663</v>
      </c>
      <c r="O14" s="68">
        <f t="shared" ref="O14:Y14" si="14">O9/O10</f>
        <v>0.91666666666666663</v>
      </c>
      <c r="P14" s="68">
        <f t="shared" ref="P14:Q14" si="15">P9/P10</f>
        <v>0.91666666666666663</v>
      </c>
      <c r="Q14" s="68">
        <f t="shared" si="15"/>
        <v>0.91666666666666663</v>
      </c>
      <c r="R14" s="68">
        <f t="shared" si="14"/>
        <v>0.88888888888888884</v>
      </c>
      <c r="S14" s="68">
        <f t="shared" si="14"/>
        <v>0.91666666666666663</v>
      </c>
      <c r="T14" s="68">
        <f t="shared" si="14"/>
        <v>0.91666666666666663</v>
      </c>
      <c r="U14" s="68">
        <f t="shared" si="14"/>
        <v>0.88888888888888884</v>
      </c>
      <c r="V14" s="68">
        <f t="shared" ref="V14" si="16">V9/V10</f>
        <v>0.88888888888888884</v>
      </c>
      <c r="W14" s="68" t="e">
        <f t="shared" si="14"/>
        <v>#DIV/0!</v>
      </c>
      <c r="X14" s="68" t="e">
        <f t="shared" si="14"/>
        <v>#DIV/0!</v>
      </c>
      <c r="Y14" s="68" t="e">
        <f t="shared" si="14"/>
        <v>#DIV/0!</v>
      </c>
    </row>
    <row r="15" spans="1:25" ht="15.75">
      <c r="A15" s="100" t="s">
        <v>8</v>
      </c>
      <c r="B15" s="103">
        <v>4</v>
      </c>
      <c r="C15" s="82"/>
      <c r="D15" s="69"/>
      <c r="E15" s="70"/>
      <c r="F15" s="70"/>
      <c r="G15" s="70"/>
      <c r="H15" s="70"/>
      <c r="I15" s="70"/>
      <c r="J15" s="71"/>
      <c r="K15" s="70"/>
      <c r="L15" s="70"/>
      <c r="M15" s="70"/>
      <c r="N15" s="70"/>
      <c r="O15" s="70"/>
      <c r="P15" s="70"/>
      <c r="Q15" s="70"/>
      <c r="R15" s="70"/>
      <c r="S15" s="70"/>
      <c r="T15" s="70"/>
      <c r="U15" s="70"/>
      <c r="V15" s="70"/>
      <c r="W15" s="70"/>
      <c r="X15" s="70"/>
      <c r="Y15" s="70"/>
    </row>
    <row r="16" spans="1:25" ht="15.75">
      <c r="A16" s="100" t="s">
        <v>54</v>
      </c>
      <c r="B16" s="109">
        <v>36</v>
      </c>
      <c r="C16" s="82"/>
      <c r="D16" s="72" t="s">
        <v>61</v>
      </c>
      <c r="E16" s="113" t="str">
        <f>IF(ISBLANK(E5),"",E5)</f>
        <v>20100817</v>
      </c>
      <c r="F16" s="114" t="str">
        <f t="shared" ref="F16:N16" si="17">IF(ISBLANK(F5),"",F5)</f>
        <v>20100818</v>
      </c>
      <c r="G16" s="73">
        <f t="shared" si="17"/>
        <v>20100819</v>
      </c>
      <c r="H16" s="73">
        <f t="shared" si="17"/>
        <v>20100823</v>
      </c>
      <c r="I16" s="73">
        <f t="shared" si="17"/>
        <v>20100824</v>
      </c>
      <c r="J16" s="73">
        <f t="shared" si="17"/>
        <v>20100825</v>
      </c>
      <c r="K16" s="73">
        <f t="shared" si="17"/>
        <v>20100826</v>
      </c>
      <c r="L16" s="73">
        <f t="shared" si="17"/>
        <v>20100827</v>
      </c>
      <c r="M16" s="73">
        <f t="shared" si="17"/>
        <v>20100830</v>
      </c>
      <c r="N16" s="73">
        <f t="shared" si="17"/>
        <v>20100831</v>
      </c>
      <c r="O16" s="73">
        <f t="shared" ref="O16:Y16" si="18">IF(ISBLANK(O5),"",O5)</f>
        <v>20100901</v>
      </c>
      <c r="P16" s="73">
        <f t="shared" ref="P16:Q16" si="19">IF(ISBLANK(P5),"",P5)</f>
        <v>20100902</v>
      </c>
      <c r="Q16" s="73">
        <f t="shared" si="19"/>
        <v>20100903</v>
      </c>
      <c r="R16" s="73">
        <f t="shared" si="18"/>
        <v>20100906</v>
      </c>
      <c r="S16" s="73">
        <f t="shared" si="18"/>
        <v>20100907</v>
      </c>
      <c r="T16" s="73">
        <f t="shared" si="18"/>
        <v>20100908</v>
      </c>
      <c r="U16" s="73">
        <f t="shared" si="18"/>
        <v>20100909</v>
      </c>
      <c r="V16" s="73">
        <f t="shared" ref="V16" si="20">IF(ISBLANK(V5),"",V5)</f>
        <v>20100910</v>
      </c>
      <c r="W16" s="73" t="str">
        <f t="shared" si="18"/>
        <v/>
      </c>
      <c r="X16" s="73" t="str">
        <f t="shared" si="18"/>
        <v/>
      </c>
      <c r="Y16" s="73" t="str">
        <f t="shared" si="18"/>
        <v/>
      </c>
    </row>
    <row r="17" spans="1:25" ht="15.75">
      <c r="A17" s="100" t="s">
        <v>59</v>
      </c>
      <c r="B17" s="99">
        <f>B13+B14</f>
        <v>32</v>
      </c>
      <c r="C17" s="82"/>
      <c r="D17" s="72" t="str">
        <f>D11</f>
        <v>Pass rate of total  %</v>
      </c>
      <c r="E17" s="74">
        <f>IF(ISERR(E11),NA(),E11)</f>
        <v>0.31428571428571428</v>
      </c>
      <c r="F17" s="75">
        <f t="shared" ref="F17:N17" si="21">IF(ISERR(F11),NA(),F11)</f>
        <v>0.30555555555555558</v>
      </c>
      <c r="G17" s="75">
        <f t="shared" si="21"/>
        <v>0.33333333333333331</v>
      </c>
      <c r="H17" s="75">
        <f t="shared" si="21"/>
        <v>0.3888888888888889</v>
      </c>
      <c r="I17" s="75">
        <f t="shared" si="21"/>
        <v>0.3888888888888889</v>
      </c>
      <c r="J17" s="75">
        <f t="shared" si="21"/>
        <v>0.3611111111111111</v>
      </c>
      <c r="K17" s="75">
        <f t="shared" si="21"/>
        <v>0.3611111111111111</v>
      </c>
      <c r="L17" s="75">
        <f t="shared" si="21"/>
        <v>0.3611111111111111</v>
      </c>
      <c r="M17" s="75">
        <f t="shared" si="21"/>
        <v>0.41666666666666669</v>
      </c>
      <c r="N17" s="75">
        <f t="shared" si="21"/>
        <v>0.3888888888888889</v>
      </c>
      <c r="O17" s="75">
        <f t="shared" ref="O17:Y17" si="22">IF(ISERR(O11),NA(),O11)</f>
        <v>0.3888888888888889</v>
      </c>
      <c r="P17" s="75">
        <f t="shared" ref="P17:Q17" si="23">IF(ISERR(P11),NA(),P11)</f>
        <v>0.3611111111111111</v>
      </c>
      <c r="Q17" s="75">
        <f t="shared" si="23"/>
        <v>0.3611111111111111</v>
      </c>
      <c r="R17" s="75">
        <f t="shared" si="22"/>
        <v>0.33333333333333331</v>
      </c>
      <c r="S17" s="75">
        <f t="shared" si="22"/>
        <v>0.3611111111111111</v>
      </c>
      <c r="T17" s="75">
        <f t="shared" si="22"/>
        <v>0.3611111111111111</v>
      </c>
      <c r="U17" s="75">
        <f t="shared" si="22"/>
        <v>0.33333333333333331</v>
      </c>
      <c r="V17" s="75">
        <f t="shared" ref="V17" si="24">IF(ISERR(V11),NA(),V11)</f>
        <v>0.33333333333333331</v>
      </c>
      <c r="W17" s="75" t="e">
        <f t="shared" si="22"/>
        <v>#N/A</v>
      </c>
      <c r="X17" s="75" t="e">
        <f t="shared" si="22"/>
        <v>#N/A</v>
      </c>
      <c r="Y17" s="75" t="e">
        <f t="shared" si="22"/>
        <v>#N/A</v>
      </c>
    </row>
    <row r="18" spans="1:25" ht="15.75">
      <c r="A18" s="100" t="s">
        <v>9</v>
      </c>
      <c r="B18" s="99">
        <f>SUM(B$13:B$15)</f>
        <v>36</v>
      </c>
      <c r="C18" s="82"/>
      <c r="D18" s="72" t="str">
        <f>D13</f>
        <v>Pass rate of executed %</v>
      </c>
      <c r="E18" s="108">
        <f>IF(IF(ISERR(E13),NA(),E13)=0,NA(),E13)</f>
        <v>0.35483870967741937</v>
      </c>
      <c r="F18" s="75">
        <f>IF(IF(ISERR(F13),NA(),F13)=0,NA(),F13)</f>
        <v>0.35483870967741937</v>
      </c>
      <c r="G18" s="75">
        <f>IF(IF(ISERR(G13),NA(),G13)=0,NA(),G13)</f>
        <v>0.375</v>
      </c>
      <c r="H18" s="75">
        <f t="shared" ref="H18:N18" si="25">IF(IF(ISERR(H13),NA(),H13)=0,NA(),H13)</f>
        <v>0.4375</v>
      </c>
      <c r="I18" s="75">
        <f t="shared" si="25"/>
        <v>0.4375</v>
      </c>
      <c r="J18" s="75">
        <f t="shared" si="25"/>
        <v>0.39393939393939392</v>
      </c>
      <c r="K18" s="75">
        <f t="shared" si="25"/>
        <v>0.39393939393939392</v>
      </c>
      <c r="L18" s="75">
        <f t="shared" si="25"/>
        <v>0.39393939393939392</v>
      </c>
      <c r="M18" s="75">
        <f t="shared" si="25"/>
        <v>0.45454545454545453</v>
      </c>
      <c r="N18" s="75">
        <f t="shared" si="25"/>
        <v>0.42424242424242425</v>
      </c>
      <c r="O18" s="75">
        <f t="shared" ref="O18:Y18" si="26">IF(IF(ISERR(O13),NA(),O13)=0,NA(),O13)</f>
        <v>0.42424242424242425</v>
      </c>
      <c r="P18" s="75">
        <f t="shared" ref="P18:Q18" si="27">IF(IF(ISERR(P13),NA(),P13)=0,NA(),P13)</f>
        <v>0.39393939393939392</v>
      </c>
      <c r="Q18" s="75">
        <f t="shared" si="27"/>
        <v>0.39393939393939392</v>
      </c>
      <c r="R18" s="75">
        <f t="shared" si="26"/>
        <v>0.375</v>
      </c>
      <c r="S18" s="75">
        <f t="shared" si="26"/>
        <v>0.39393939393939392</v>
      </c>
      <c r="T18" s="75">
        <f t="shared" si="26"/>
        <v>0.39393939393939392</v>
      </c>
      <c r="U18" s="75">
        <f t="shared" si="26"/>
        <v>0.375</v>
      </c>
      <c r="V18" s="75">
        <f t="shared" ref="V18" si="28">IF(IF(ISERR(V13),NA(),V13)=0,NA(),V13)</f>
        <v>0.375</v>
      </c>
      <c r="W18" s="75" t="e">
        <f t="shared" si="26"/>
        <v>#N/A</v>
      </c>
      <c r="X18" s="75" t="e">
        <f t="shared" si="26"/>
        <v>#N/A</v>
      </c>
      <c r="Y18" s="75" t="e">
        <f t="shared" si="26"/>
        <v>#N/A</v>
      </c>
    </row>
    <row r="19" spans="1:25" ht="15.75">
      <c r="A19" s="100" t="s">
        <v>52</v>
      </c>
      <c r="B19" s="104">
        <f>B$13/B$18</f>
        <v>0.33333333333333331</v>
      </c>
      <c r="C19" s="82"/>
      <c r="D19" s="72" t="str">
        <f>D14</f>
        <v>Executable rate  %</v>
      </c>
      <c r="E19" s="74">
        <f>IF(ISERR(E14),NA(),E14)</f>
        <v>0.88571428571428568</v>
      </c>
      <c r="F19" s="75">
        <f t="shared" ref="F19:N19" si="29">IF(ISERR(F14),NA(),F14)</f>
        <v>0.86111111111111116</v>
      </c>
      <c r="G19" s="75">
        <f t="shared" si="29"/>
        <v>0.88888888888888884</v>
      </c>
      <c r="H19" s="75">
        <f t="shared" si="29"/>
        <v>0.88888888888888884</v>
      </c>
      <c r="I19" s="75">
        <f t="shared" si="29"/>
        <v>0.88888888888888884</v>
      </c>
      <c r="J19" s="75">
        <f t="shared" si="29"/>
        <v>0.91666666666666663</v>
      </c>
      <c r="K19" s="75">
        <f t="shared" si="29"/>
        <v>0.91666666666666663</v>
      </c>
      <c r="L19" s="75">
        <f t="shared" si="29"/>
        <v>0.91666666666666663</v>
      </c>
      <c r="M19" s="75">
        <f t="shared" si="29"/>
        <v>0.91666666666666663</v>
      </c>
      <c r="N19" s="75">
        <f t="shared" si="29"/>
        <v>0.91666666666666663</v>
      </c>
      <c r="O19" s="75">
        <f t="shared" ref="O19:Y19" si="30">IF(ISERR(O14),NA(),O14)</f>
        <v>0.91666666666666663</v>
      </c>
      <c r="P19" s="75">
        <f t="shared" ref="P19:Q19" si="31">IF(ISERR(P14),NA(),P14)</f>
        <v>0.91666666666666663</v>
      </c>
      <c r="Q19" s="75">
        <f t="shared" si="31"/>
        <v>0.91666666666666663</v>
      </c>
      <c r="R19" s="75">
        <f t="shared" si="30"/>
        <v>0.88888888888888884</v>
      </c>
      <c r="S19" s="75">
        <f t="shared" si="30"/>
        <v>0.91666666666666663</v>
      </c>
      <c r="T19" s="75">
        <f t="shared" si="30"/>
        <v>0.91666666666666663</v>
      </c>
      <c r="U19" s="75">
        <f t="shared" si="30"/>
        <v>0.88888888888888884</v>
      </c>
      <c r="V19" s="75">
        <f t="shared" ref="V19" si="32">IF(ISERR(V14),NA(),V14)</f>
        <v>0.88888888888888884</v>
      </c>
      <c r="W19" s="75" t="e">
        <f t="shared" si="30"/>
        <v>#N/A</v>
      </c>
      <c r="X19" s="75" t="e">
        <f t="shared" si="30"/>
        <v>#N/A</v>
      </c>
      <c r="Y19" s="75" t="e">
        <f t="shared" si="30"/>
        <v>#N/A</v>
      </c>
    </row>
    <row r="20" spans="1:25" ht="15.75">
      <c r="A20" s="100" t="s">
        <v>53</v>
      </c>
      <c r="B20" s="104">
        <f>B$13/B$17</f>
        <v>0.375</v>
      </c>
      <c r="C20" s="82"/>
    </row>
    <row r="21" spans="1:25" ht="16.5" thickBot="1">
      <c r="A21" s="105" t="s">
        <v>2</v>
      </c>
      <c r="B21" s="106">
        <f>B17/B$18</f>
        <v>0.88888888888888884</v>
      </c>
      <c r="C21" s="82"/>
    </row>
    <row r="22" spans="1:25" ht="15.75">
      <c r="A22" s="76"/>
      <c r="B22" s="82"/>
      <c r="C22" s="82"/>
    </row>
    <row r="23" spans="1:25" ht="15.75">
      <c r="A23" s="83"/>
      <c r="B23" s="82"/>
      <c r="C23" s="82"/>
    </row>
    <row r="24" spans="1:25" ht="15">
      <c r="A24" s="84"/>
      <c r="B24" s="84"/>
      <c r="C24" s="84"/>
    </row>
    <row r="25" spans="1:25" ht="15">
      <c r="A25" s="84"/>
      <c r="B25" s="84"/>
      <c r="C25" s="84"/>
    </row>
    <row r="26" spans="1:25" ht="15">
      <c r="A26" s="84"/>
      <c r="B26" s="84"/>
      <c r="C26" s="84"/>
    </row>
    <row r="27" spans="1:25" ht="15">
      <c r="A27" s="84"/>
      <c r="B27" s="84"/>
      <c r="C27" s="84"/>
    </row>
    <row r="28" spans="1:25" ht="15">
      <c r="A28" s="84"/>
      <c r="B28" s="84"/>
      <c r="C28" s="84"/>
    </row>
    <row r="34" spans="1:12" ht="13.5" thickBot="1"/>
    <row r="35" spans="1:12" ht="18" customHeight="1">
      <c r="A35" s="154" t="s">
        <v>65</v>
      </c>
      <c r="B35" s="136" t="s">
        <v>107</v>
      </c>
      <c r="C35" s="137" t="s">
        <v>108</v>
      </c>
      <c r="D35" s="138" t="s">
        <v>109</v>
      </c>
      <c r="E35" s="126" t="s">
        <v>126</v>
      </c>
      <c r="F35" s="134" t="s">
        <v>106</v>
      </c>
      <c r="G35" s="117" t="s">
        <v>69</v>
      </c>
      <c r="H35" s="118" t="s">
        <v>8</v>
      </c>
    </row>
    <row r="36" spans="1:12" ht="15">
      <c r="A36" s="153" t="s">
        <v>66</v>
      </c>
      <c r="B36" s="145" t="s">
        <v>81</v>
      </c>
      <c r="C36" s="149" t="s">
        <v>106</v>
      </c>
      <c r="D36" s="141"/>
      <c r="E36" s="127">
        <v>1</v>
      </c>
      <c r="F36" s="119">
        <v>1</v>
      </c>
      <c r="G36" s="120"/>
      <c r="H36" s="121"/>
      <c r="I36" s="7"/>
      <c r="J36" s="5"/>
      <c r="K36" s="6"/>
      <c r="L36" s="1"/>
    </row>
    <row r="37" spans="1:12" ht="15">
      <c r="A37" s="153" t="s">
        <v>67</v>
      </c>
      <c r="B37" s="145" t="s">
        <v>110</v>
      </c>
      <c r="C37" s="149" t="s">
        <v>106</v>
      </c>
      <c r="D37" s="156"/>
      <c r="E37" s="127">
        <v>1</v>
      </c>
      <c r="F37" s="119">
        <v>1</v>
      </c>
      <c r="G37" s="120"/>
      <c r="H37" s="121"/>
      <c r="I37" s="7"/>
      <c r="J37" s="5"/>
      <c r="K37" s="6"/>
      <c r="L37" s="1"/>
    </row>
    <row r="38" spans="1:12" ht="102">
      <c r="A38" s="202" t="s">
        <v>68</v>
      </c>
      <c r="B38" s="145" t="s">
        <v>111</v>
      </c>
      <c r="C38" s="142" t="s">
        <v>140</v>
      </c>
      <c r="D38" s="143" t="s">
        <v>147</v>
      </c>
      <c r="E38" s="127">
        <v>1</v>
      </c>
      <c r="F38" s="119"/>
      <c r="G38" s="120">
        <v>1</v>
      </c>
      <c r="H38" s="121"/>
      <c r="I38" s="7"/>
      <c r="J38" s="5"/>
      <c r="K38" s="6"/>
      <c r="L38" s="1"/>
    </row>
    <row r="39" spans="1:12" ht="15">
      <c r="A39" s="202"/>
      <c r="B39" s="145" t="s">
        <v>112</v>
      </c>
      <c r="C39" s="149" t="s">
        <v>106</v>
      </c>
      <c r="D39" s="141"/>
      <c r="E39" s="127">
        <v>1</v>
      </c>
      <c r="F39" s="119">
        <v>1</v>
      </c>
      <c r="G39" s="120"/>
      <c r="H39" s="121"/>
      <c r="I39" s="7"/>
      <c r="J39" s="5"/>
      <c r="K39" s="6"/>
      <c r="L39" s="1"/>
    </row>
    <row r="40" spans="1:12" ht="153">
      <c r="A40" s="202"/>
      <c r="B40" s="145" t="s">
        <v>82</v>
      </c>
      <c r="C40" s="142" t="s">
        <v>69</v>
      </c>
      <c r="D40" s="159" t="s">
        <v>152</v>
      </c>
      <c r="E40" s="127">
        <v>1</v>
      </c>
      <c r="F40" s="119"/>
      <c r="G40" s="120">
        <v>1</v>
      </c>
      <c r="H40" s="121"/>
      <c r="I40" s="7"/>
      <c r="J40" s="5"/>
      <c r="K40" s="6"/>
      <c r="L40" s="1"/>
    </row>
    <row r="41" spans="1:12" ht="15">
      <c r="A41" s="202"/>
      <c r="B41" s="146" t="s">
        <v>83</v>
      </c>
      <c r="C41" s="149" t="s">
        <v>106</v>
      </c>
      <c r="D41" s="143"/>
      <c r="E41" s="127">
        <v>1</v>
      </c>
      <c r="F41" s="119">
        <v>1</v>
      </c>
      <c r="G41" s="120"/>
      <c r="H41" s="121"/>
      <c r="I41" s="7"/>
      <c r="J41" s="5"/>
      <c r="K41" s="6"/>
      <c r="L41" s="1"/>
    </row>
    <row r="42" spans="1:12" ht="15">
      <c r="A42" s="202" t="s">
        <v>70</v>
      </c>
      <c r="B42" s="145" t="s">
        <v>80</v>
      </c>
      <c r="C42" s="129" t="s">
        <v>69</v>
      </c>
      <c r="D42" s="139" t="s">
        <v>134</v>
      </c>
      <c r="E42" s="127">
        <v>1</v>
      </c>
      <c r="F42" s="119"/>
      <c r="G42" s="120">
        <v>1</v>
      </c>
      <c r="H42" s="121"/>
      <c r="I42" s="7"/>
      <c r="J42" s="5"/>
      <c r="K42" s="6"/>
      <c r="L42" s="1"/>
    </row>
    <row r="43" spans="1:12" ht="15">
      <c r="A43" s="202"/>
      <c r="B43" s="145" t="s">
        <v>113</v>
      </c>
      <c r="C43" s="135" t="s">
        <v>8</v>
      </c>
      <c r="D43" s="155" t="s">
        <v>142</v>
      </c>
      <c r="E43" s="127">
        <v>1</v>
      </c>
      <c r="F43" s="119"/>
      <c r="G43" s="120"/>
      <c r="H43" s="121">
        <v>1</v>
      </c>
      <c r="I43" s="7"/>
      <c r="J43" s="5"/>
      <c r="K43" s="6"/>
      <c r="L43" s="1"/>
    </row>
    <row r="44" spans="1:12" ht="15">
      <c r="A44" s="202"/>
      <c r="B44" s="145" t="s">
        <v>114</v>
      </c>
      <c r="C44" s="129" t="s">
        <v>69</v>
      </c>
      <c r="D44" s="139" t="s">
        <v>134</v>
      </c>
      <c r="E44" s="127">
        <v>1</v>
      </c>
      <c r="F44" s="119"/>
      <c r="G44" s="120">
        <v>1</v>
      </c>
      <c r="H44" s="121"/>
      <c r="I44" s="7"/>
      <c r="J44" s="5"/>
      <c r="K44" s="6"/>
      <c r="L44" s="1"/>
    </row>
    <row r="45" spans="1:12" ht="38.25">
      <c r="A45" s="202" t="s">
        <v>71</v>
      </c>
      <c r="B45" s="145" t="s">
        <v>115</v>
      </c>
      <c r="C45" s="149" t="s">
        <v>106</v>
      </c>
      <c r="D45" s="157" t="s">
        <v>143</v>
      </c>
      <c r="E45" s="127">
        <v>1</v>
      </c>
      <c r="F45" s="119">
        <v>1</v>
      </c>
      <c r="G45" s="120"/>
      <c r="H45" s="121"/>
      <c r="I45" s="7"/>
      <c r="J45" s="5"/>
      <c r="K45" s="6"/>
      <c r="L45" s="1"/>
    </row>
    <row r="46" spans="1:12" ht="15">
      <c r="A46" s="202"/>
      <c r="B46" s="145" t="s">
        <v>84</v>
      </c>
      <c r="C46" s="149" t="s">
        <v>106</v>
      </c>
      <c r="D46" s="139"/>
      <c r="E46" s="127">
        <v>1</v>
      </c>
      <c r="F46" s="119">
        <v>1</v>
      </c>
      <c r="G46" s="120"/>
      <c r="H46" s="121"/>
      <c r="I46" s="7"/>
      <c r="J46" s="5"/>
      <c r="K46" s="6"/>
      <c r="L46" s="1"/>
    </row>
    <row r="47" spans="1:12" ht="25.5">
      <c r="A47" s="202"/>
      <c r="B47" s="145" t="s">
        <v>85</v>
      </c>
      <c r="C47" s="149" t="s">
        <v>106</v>
      </c>
      <c r="D47" s="157" t="s">
        <v>135</v>
      </c>
      <c r="E47" s="127">
        <v>1</v>
      </c>
      <c r="F47" s="119">
        <v>1</v>
      </c>
      <c r="G47" s="120"/>
      <c r="H47" s="121"/>
      <c r="I47" s="7"/>
      <c r="J47" s="5"/>
      <c r="K47" s="6"/>
      <c r="L47" s="1"/>
    </row>
    <row r="48" spans="1:12" ht="51">
      <c r="A48" s="202" t="s">
        <v>56</v>
      </c>
      <c r="B48" s="145" t="s">
        <v>116</v>
      </c>
      <c r="C48" s="149" t="s">
        <v>106</v>
      </c>
      <c r="D48" s="157" t="s">
        <v>136</v>
      </c>
      <c r="E48" s="127">
        <v>1</v>
      </c>
      <c r="F48" s="119">
        <v>1</v>
      </c>
      <c r="G48" s="120"/>
      <c r="H48" s="121"/>
      <c r="I48" s="7"/>
      <c r="J48" s="5"/>
      <c r="K48" s="6"/>
      <c r="L48" s="1"/>
    </row>
    <row r="49" spans="1:12" ht="25.5">
      <c r="A49" s="202"/>
      <c r="B49" s="145" t="s">
        <v>117</v>
      </c>
      <c r="C49" s="129" t="s">
        <v>69</v>
      </c>
      <c r="D49" s="140" t="s">
        <v>139</v>
      </c>
      <c r="E49" s="127">
        <v>1</v>
      </c>
      <c r="F49" s="119"/>
      <c r="G49" s="120">
        <v>1</v>
      </c>
      <c r="H49" s="121"/>
      <c r="I49" s="7"/>
      <c r="J49" s="5"/>
      <c r="K49" s="6"/>
      <c r="L49" s="1"/>
    </row>
    <row r="50" spans="1:12" ht="15">
      <c r="A50" s="202" t="s">
        <v>72</v>
      </c>
      <c r="B50" s="145" t="s">
        <v>137</v>
      </c>
      <c r="C50" s="129" t="s">
        <v>69</v>
      </c>
      <c r="D50" s="160" t="s">
        <v>148</v>
      </c>
      <c r="E50" s="127">
        <v>1</v>
      </c>
      <c r="F50" s="119"/>
      <c r="G50" s="120">
        <v>1</v>
      </c>
      <c r="H50" s="121"/>
      <c r="I50" s="7"/>
      <c r="J50" s="5"/>
      <c r="K50" s="6"/>
      <c r="L50" s="1"/>
    </row>
    <row r="51" spans="1:12" ht="15">
      <c r="A51" s="202"/>
      <c r="B51" s="145" t="s">
        <v>86</v>
      </c>
      <c r="C51" s="129" t="s">
        <v>69</v>
      </c>
      <c r="D51" s="139" t="s">
        <v>134</v>
      </c>
      <c r="E51" s="127">
        <v>1</v>
      </c>
      <c r="F51" s="119"/>
      <c r="G51" s="120">
        <v>1</v>
      </c>
      <c r="H51" s="121"/>
      <c r="I51" s="7"/>
      <c r="J51" s="5"/>
      <c r="K51" s="6"/>
      <c r="L51" s="1"/>
    </row>
    <row r="52" spans="1:12" ht="15">
      <c r="A52" s="202"/>
      <c r="B52" s="145" t="s">
        <v>118</v>
      </c>
      <c r="C52" s="129" t="s">
        <v>69</v>
      </c>
      <c r="D52" s="160" t="s">
        <v>148</v>
      </c>
      <c r="E52" s="127">
        <v>1</v>
      </c>
      <c r="F52" s="119"/>
      <c r="G52" s="120">
        <v>1</v>
      </c>
      <c r="H52" s="121"/>
      <c r="I52" s="7"/>
      <c r="J52" s="5"/>
      <c r="K52" s="6"/>
      <c r="L52" s="1"/>
    </row>
    <row r="53" spans="1:12" ht="25.5">
      <c r="A53" s="202"/>
      <c r="B53" s="145" t="s">
        <v>87</v>
      </c>
      <c r="C53" s="142" t="s">
        <v>69</v>
      </c>
      <c r="D53" s="147" t="s">
        <v>138</v>
      </c>
      <c r="E53" s="127">
        <v>1</v>
      </c>
      <c r="F53" s="119"/>
      <c r="G53" s="120">
        <v>1</v>
      </c>
      <c r="H53" s="121"/>
      <c r="I53" s="7"/>
      <c r="J53" s="5"/>
      <c r="K53" s="6"/>
      <c r="L53" s="1"/>
    </row>
    <row r="54" spans="1:12" ht="63.75">
      <c r="A54" s="202"/>
      <c r="B54" s="145" t="s">
        <v>88</v>
      </c>
      <c r="C54" s="142" t="s">
        <v>69</v>
      </c>
      <c r="D54" s="143" t="s">
        <v>144</v>
      </c>
      <c r="E54" s="127">
        <v>1</v>
      </c>
      <c r="F54" s="119"/>
      <c r="G54" s="120">
        <v>1</v>
      </c>
      <c r="H54" s="121"/>
      <c r="I54" s="7"/>
      <c r="J54" s="5"/>
      <c r="K54" s="6"/>
      <c r="L54" s="1"/>
    </row>
    <row r="55" spans="1:12" ht="38.25">
      <c r="A55" s="153" t="s">
        <v>73</v>
      </c>
      <c r="B55" s="145" t="s">
        <v>119</v>
      </c>
      <c r="C55" s="142" t="s">
        <v>69</v>
      </c>
      <c r="D55" s="141" t="s">
        <v>153</v>
      </c>
      <c r="E55" s="127">
        <v>1</v>
      </c>
      <c r="F55" s="119"/>
      <c r="G55" s="120">
        <v>1</v>
      </c>
      <c r="H55" s="121"/>
      <c r="I55" s="7"/>
      <c r="J55" s="5"/>
      <c r="K55" s="6"/>
      <c r="L55" s="1"/>
    </row>
    <row r="56" spans="1:12" ht="25.5">
      <c r="A56" s="202" t="s">
        <v>74</v>
      </c>
      <c r="B56" s="145" t="s">
        <v>120</v>
      </c>
      <c r="C56" s="161" t="s">
        <v>69</v>
      </c>
      <c r="D56" s="164" t="s">
        <v>149</v>
      </c>
      <c r="E56" s="127">
        <v>1</v>
      </c>
      <c r="F56" s="119"/>
      <c r="G56" s="120">
        <v>1</v>
      </c>
      <c r="H56" s="121"/>
      <c r="I56" s="7"/>
      <c r="J56" s="5"/>
      <c r="K56" s="6"/>
      <c r="L56" s="1"/>
    </row>
    <row r="57" spans="1:12" ht="15">
      <c r="A57" s="202"/>
      <c r="B57" s="145" t="s">
        <v>89</v>
      </c>
      <c r="C57" s="161" t="s">
        <v>69</v>
      </c>
      <c r="D57" s="164" t="s">
        <v>149</v>
      </c>
      <c r="E57" s="127">
        <v>1</v>
      </c>
      <c r="F57" s="119"/>
      <c r="G57" s="120">
        <v>1</v>
      </c>
      <c r="H57" s="121"/>
      <c r="I57" s="7"/>
      <c r="J57" s="5"/>
      <c r="K57" s="6"/>
      <c r="L57" s="1"/>
    </row>
    <row r="58" spans="1:12" ht="15">
      <c r="A58" s="202" t="s">
        <v>75</v>
      </c>
      <c r="B58" s="145" t="s">
        <v>90</v>
      </c>
      <c r="C58" s="149" t="s">
        <v>106</v>
      </c>
      <c r="D58" s="144"/>
      <c r="E58" s="127">
        <v>1</v>
      </c>
      <c r="F58" s="119">
        <v>1</v>
      </c>
      <c r="G58" s="120"/>
      <c r="H58" s="121"/>
      <c r="I58" s="7"/>
      <c r="J58" s="5"/>
      <c r="K58" s="6"/>
      <c r="L58" s="1"/>
    </row>
    <row r="59" spans="1:12" ht="25.5">
      <c r="A59" s="202"/>
      <c r="B59" s="145" t="s">
        <v>91</v>
      </c>
      <c r="C59" s="142" t="s">
        <v>69</v>
      </c>
      <c r="D59" s="143" t="s">
        <v>146</v>
      </c>
      <c r="E59" s="127">
        <v>1</v>
      </c>
      <c r="F59" s="119"/>
      <c r="G59" s="120">
        <v>1</v>
      </c>
      <c r="H59" s="121"/>
      <c r="I59" s="7"/>
      <c r="J59" s="5"/>
      <c r="K59" s="6"/>
      <c r="L59" s="1"/>
    </row>
    <row r="60" spans="1:12" ht="51">
      <c r="A60" s="202"/>
      <c r="B60" s="145" t="s">
        <v>121</v>
      </c>
      <c r="C60" s="142" t="s">
        <v>69</v>
      </c>
      <c r="D60" s="143" t="s">
        <v>145</v>
      </c>
      <c r="E60" s="127">
        <v>1</v>
      </c>
      <c r="F60" s="119"/>
      <c r="G60" s="120">
        <v>1</v>
      </c>
      <c r="H60" s="121"/>
      <c r="I60" s="7"/>
      <c r="J60" s="5"/>
      <c r="K60" s="6"/>
      <c r="L60" s="1"/>
    </row>
    <row r="61" spans="1:12" ht="15">
      <c r="A61" s="202" t="s">
        <v>76</v>
      </c>
      <c r="B61" s="145" t="s">
        <v>92</v>
      </c>
      <c r="C61" s="129" t="s">
        <v>69</v>
      </c>
      <c r="D61" s="140" t="s">
        <v>128</v>
      </c>
      <c r="E61" s="127">
        <v>1</v>
      </c>
      <c r="F61" s="119"/>
      <c r="G61" s="120">
        <v>1</v>
      </c>
      <c r="H61" s="121"/>
      <c r="I61" s="7"/>
      <c r="J61" s="5"/>
      <c r="K61" s="6"/>
      <c r="L61" s="1"/>
    </row>
    <row r="62" spans="1:12" ht="25.5">
      <c r="A62" s="202"/>
      <c r="B62" s="145" t="s">
        <v>93</v>
      </c>
      <c r="C62" s="129" t="s">
        <v>69</v>
      </c>
      <c r="D62" s="140" t="s">
        <v>128</v>
      </c>
      <c r="E62" s="127">
        <v>1</v>
      </c>
      <c r="F62" s="119"/>
      <c r="G62" s="120">
        <v>1</v>
      </c>
      <c r="H62" s="121"/>
      <c r="I62" s="7"/>
      <c r="J62" s="5"/>
      <c r="K62" s="6"/>
      <c r="L62" s="1"/>
    </row>
    <row r="63" spans="1:12" ht="15">
      <c r="A63" s="202" t="s">
        <v>122</v>
      </c>
      <c r="B63" s="145" t="s">
        <v>92</v>
      </c>
      <c r="C63" s="149" t="s">
        <v>106</v>
      </c>
      <c r="D63" s="158"/>
      <c r="E63" s="127">
        <v>1</v>
      </c>
      <c r="F63" s="119">
        <v>1</v>
      </c>
      <c r="G63" s="120"/>
      <c r="H63" s="121"/>
      <c r="I63" s="7"/>
      <c r="J63" s="5"/>
      <c r="K63" s="6"/>
      <c r="L63" s="1"/>
    </row>
    <row r="64" spans="1:12" ht="15">
      <c r="A64" s="202"/>
      <c r="B64" s="145" t="s">
        <v>94</v>
      </c>
      <c r="C64" s="149" t="s">
        <v>106</v>
      </c>
      <c r="D64" s="143"/>
      <c r="E64" s="127">
        <v>1</v>
      </c>
      <c r="F64" s="119">
        <v>1</v>
      </c>
      <c r="G64" s="120"/>
      <c r="H64" s="121"/>
      <c r="I64" s="7"/>
      <c r="J64" s="5"/>
      <c r="K64" s="6"/>
      <c r="L64" s="1"/>
    </row>
    <row r="65" spans="1:12" ht="15">
      <c r="A65" s="202"/>
      <c r="B65" s="145" t="s">
        <v>123</v>
      </c>
      <c r="C65" s="129" t="s">
        <v>69</v>
      </c>
      <c r="D65" s="140" t="s">
        <v>129</v>
      </c>
      <c r="E65" s="127">
        <v>1</v>
      </c>
      <c r="F65" s="119"/>
      <c r="G65" s="120">
        <v>1</v>
      </c>
      <c r="H65" s="121"/>
      <c r="I65" s="7"/>
      <c r="J65" s="5"/>
      <c r="K65" s="6"/>
      <c r="L65" s="1"/>
    </row>
    <row r="66" spans="1:12" ht="15">
      <c r="A66" s="153" t="s">
        <v>77</v>
      </c>
      <c r="B66" s="145" t="s">
        <v>95</v>
      </c>
      <c r="C66" s="149" t="s">
        <v>106</v>
      </c>
      <c r="D66" s="141"/>
      <c r="E66" s="127">
        <v>1</v>
      </c>
      <c r="F66" s="119">
        <v>1</v>
      </c>
      <c r="G66" s="120"/>
      <c r="H66" s="121"/>
      <c r="I66" s="7"/>
      <c r="J66" s="5"/>
      <c r="K66" s="6"/>
      <c r="L66" s="1"/>
    </row>
    <row r="67" spans="1:12" ht="15">
      <c r="A67" s="202" t="s">
        <v>78</v>
      </c>
      <c r="B67" s="145" t="s">
        <v>96</v>
      </c>
      <c r="C67" s="152" t="s">
        <v>150</v>
      </c>
      <c r="D67" s="144"/>
      <c r="E67" s="127">
        <v>1</v>
      </c>
      <c r="F67" s="119"/>
      <c r="G67" s="120"/>
      <c r="H67" s="121">
        <v>1</v>
      </c>
      <c r="I67" s="7"/>
      <c r="J67" s="5"/>
      <c r="K67" s="6"/>
      <c r="L67" s="1"/>
    </row>
    <row r="68" spans="1:12" ht="15">
      <c r="A68" s="202"/>
      <c r="B68" s="145" t="s">
        <v>97</v>
      </c>
      <c r="C68" s="152" t="s">
        <v>150</v>
      </c>
      <c r="D68" s="144"/>
      <c r="E68" s="127">
        <v>1</v>
      </c>
      <c r="F68" s="119"/>
      <c r="G68" s="120"/>
      <c r="H68" s="121">
        <v>1</v>
      </c>
      <c r="I68" s="7"/>
      <c r="J68" s="5"/>
      <c r="K68" s="6"/>
      <c r="L68" s="1"/>
    </row>
    <row r="69" spans="1:12" ht="25.5">
      <c r="A69" s="202"/>
      <c r="B69" s="145" t="s">
        <v>124</v>
      </c>
      <c r="C69" s="142" t="s">
        <v>69</v>
      </c>
      <c r="D69" s="143" t="s">
        <v>130</v>
      </c>
      <c r="E69" s="127">
        <v>1</v>
      </c>
      <c r="F69" s="119"/>
      <c r="G69" s="120">
        <v>1</v>
      </c>
      <c r="H69" s="121"/>
      <c r="I69" s="7"/>
      <c r="J69" s="5"/>
      <c r="K69" s="6"/>
      <c r="L69" s="1"/>
    </row>
    <row r="70" spans="1:12" ht="25.5">
      <c r="A70" s="153" t="s">
        <v>79</v>
      </c>
      <c r="B70" s="145" t="s">
        <v>125</v>
      </c>
      <c r="C70" s="142" t="s">
        <v>69</v>
      </c>
      <c r="D70" s="143" t="s">
        <v>141</v>
      </c>
      <c r="E70" s="127">
        <v>1</v>
      </c>
      <c r="F70" s="119"/>
      <c r="G70" s="120">
        <v>1</v>
      </c>
      <c r="H70" s="121"/>
      <c r="I70" s="7"/>
      <c r="J70" s="5"/>
      <c r="K70" s="6"/>
      <c r="L70" s="1"/>
    </row>
    <row r="71" spans="1:12" ht="26.25" thickBot="1">
      <c r="A71" s="151" t="s">
        <v>131</v>
      </c>
      <c r="B71" s="148" t="s">
        <v>132</v>
      </c>
      <c r="C71" s="162" t="s">
        <v>8</v>
      </c>
      <c r="D71" s="163" t="s">
        <v>151</v>
      </c>
      <c r="E71" s="127">
        <v>1</v>
      </c>
      <c r="F71" s="119"/>
      <c r="G71" s="120"/>
      <c r="H71" s="121">
        <v>1</v>
      </c>
      <c r="I71" s="7"/>
      <c r="J71" s="5"/>
      <c r="K71" s="6"/>
      <c r="L71" s="1"/>
    </row>
    <row r="72" spans="1:12" ht="15">
      <c r="A72" s="125"/>
      <c r="B72" s="125"/>
      <c r="C72" s="125"/>
      <c r="D72" s="125"/>
      <c r="E72" s="130">
        <f>SUM(E36:E71)</f>
        <v>36</v>
      </c>
      <c r="F72" s="131">
        <f>SUM(F36:F71)</f>
        <v>12</v>
      </c>
      <c r="G72" s="132">
        <f>SUM(G36:G71)</f>
        <v>20</v>
      </c>
      <c r="H72" s="133">
        <f>SUM(H36:H71)</f>
        <v>4</v>
      </c>
    </row>
    <row r="73" spans="1:12">
      <c r="A73" s="3"/>
      <c r="B73" s="3"/>
      <c r="C73" s="3"/>
      <c r="D73" s="128"/>
    </row>
    <row r="74" spans="1:12">
      <c r="A74" s="3"/>
      <c r="B74" s="3"/>
      <c r="C74" s="3"/>
      <c r="D74" s="128"/>
    </row>
    <row r="75" spans="1:12" ht="26.25" customHeight="1"/>
    <row r="79" spans="1:12">
      <c r="B79" s="3"/>
    </row>
    <row r="81" spans="9:15" ht="31.5">
      <c r="I81" s="116" t="s">
        <v>98</v>
      </c>
      <c r="J81" s="116" t="s">
        <v>99</v>
      </c>
      <c r="K81" s="116" t="s">
        <v>62</v>
      </c>
      <c r="L81" s="116" t="s">
        <v>100</v>
      </c>
      <c r="M81" s="116" t="s">
        <v>101</v>
      </c>
      <c r="N81" s="116" t="s">
        <v>102</v>
      </c>
      <c r="O81" s="116" t="s">
        <v>103</v>
      </c>
    </row>
    <row r="82" spans="9:15" ht="15.75">
      <c r="I82" s="122">
        <v>36</v>
      </c>
      <c r="J82" s="122">
        <v>12</v>
      </c>
      <c r="K82" s="122">
        <v>20</v>
      </c>
      <c r="L82" s="122">
        <v>4</v>
      </c>
      <c r="M82" s="123">
        <f>(J82+K82)/I82</f>
        <v>0.88888888888888884</v>
      </c>
      <c r="N82" s="123">
        <f>J82/I82</f>
        <v>0.33333333333333331</v>
      </c>
      <c r="O82" s="124">
        <f>J82/(K82+J82)</f>
        <v>0.375</v>
      </c>
    </row>
    <row r="119" spans="9:11" ht="31.5">
      <c r="I119" s="110" t="s">
        <v>101</v>
      </c>
      <c r="J119" s="110" t="s">
        <v>102</v>
      </c>
      <c r="K119" s="110" t="s">
        <v>103</v>
      </c>
    </row>
    <row r="120" spans="9:11" ht="15.75">
      <c r="I120" s="112">
        <f>(F66+G66)/E66</f>
        <v>1</v>
      </c>
      <c r="J120" s="112">
        <f>F66/E66</f>
        <v>1</v>
      </c>
      <c r="K120" s="111">
        <f>F66/(G66+F66)</f>
        <v>1</v>
      </c>
    </row>
  </sheetData>
  <sheetProtection selectLockedCells="1" selectUnlockedCells="1"/>
  <autoFilter ref="A35:H72"/>
  <mergeCells count="12">
    <mergeCell ref="A48:A49"/>
    <mergeCell ref="A67:A69"/>
    <mergeCell ref="D4:N4"/>
    <mergeCell ref="O4:Y4"/>
    <mergeCell ref="A38:A41"/>
    <mergeCell ref="A42:A44"/>
    <mergeCell ref="A45:A47"/>
    <mergeCell ref="A50:A54"/>
    <mergeCell ref="A56:A57"/>
    <mergeCell ref="A58:A60"/>
    <mergeCell ref="A61:A62"/>
    <mergeCell ref="A63:A65"/>
  </mergeCells>
  <phoneticPr fontId="0" type="noConversion"/>
  <hyperlinks>
    <hyperlink ref="D38" r:id="rId1" display="http://bugs.meego.com/buglist.cgi?quicksearch=5850%2C6044%2C3551%2C4021%2C5292"/>
    <hyperlink ref="D40" r:id="rId2" display="http://bugs.meego.com/buglist.cgi?quicksearch=5995%2C5997%2C3921%2C6482"/>
    <hyperlink ref="D53" r:id="rId3"/>
    <hyperlink ref="D55" r:id="rId4" display="Bug 5301 - N900: Runtime status not shown on toolbar "/>
    <hyperlink ref="D69" r:id="rId5"/>
    <hyperlink ref="D70" r:id="rId6"/>
    <hyperlink ref="D59" r:id="rId7"/>
    <hyperlink ref="D62" r:id="rId8" tooltip="http://bugs.meego.com/show_bug.cgi?id=5292"/>
    <hyperlink ref="D61" r:id="rId9" tooltip="http://bugs.meego.com/show_bug.cgi?id=5292"/>
    <hyperlink ref="D65" r:id="rId10" tooltip="http://bugs.meego.com/show_bug.cgi?id=5419" display="http://bugs.meego.com/show_bug.cgi?id=5419"/>
    <hyperlink ref="D42" r:id="rId11"/>
    <hyperlink ref="D44" r:id="rId12"/>
    <hyperlink ref="D50" r:id="rId13" display="http://bugs.meego.com/show_bug.cgi?id=6488"/>
    <hyperlink ref="D51" r:id="rId14"/>
    <hyperlink ref="D54" r:id="rId15" display="http://bugs.meego.com/show_bug.cgi?id=5031"/>
    <hyperlink ref="D52" r:id="rId16" display="http://bugs.meego.com/show_bug.cgi?id=6488"/>
    <hyperlink ref="D49" r:id="rId17" tooltip="http://bugs.meego.com/show_bug.cgi?id=3670" display="http://bugs.meego.com/show_bug.cgi?id=3670"/>
    <hyperlink ref="D56" r:id="rId18" display="http://bugs.meego.com/show_bug.cgi?id=6489"/>
    <hyperlink ref="D57" r:id="rId19" display="http://bugs.meego.com/show_bug.cgi?id=6489"/>
  </hyperlinks>
  <pageMargins left="0.78749999999999998" right="0.78749999999999998" top="1.0527777777777778" bottom="1.0527777777777778" header="0.78749999999999998" footer="0.78749999999999998"/>
  <pageSetup paperSize="9" firstPageNumber="0" orientation="portrait" horizontalDpi="300" verticalDpi="300" r:id="rId20"/>
  <headerFooter alignWithMargins="0">
    <oddHeader>&amp;C&amp;"Times New Roman,Regular"&amp;12&amp;A</oddHeader>
    <oddFooter>&amp;C&amp;"Times New Roman,Regular"&amp;12Sivu &amp;P</oddFooter>
  </headerFooter>
  <drawing r:id="rId21"/>
  <legacyDrawing r:id="rId2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10</vt:i4>
      </vt:variant>
    </vt:vector>
  </HeadingPairs>
  <TitlesOfParts>
    <vt:vector size="12" baseType="lpstr">
      <vt:lpstr>Summary</vt:lpstr>
      <vt:lpstr>Results</vt:lpstr>
      <vt:lpstr>Bug_IDs</vt:lpstr>
      <vt:lpstr>Failures</vt:lpstr>
      <vt:lpstr>New_Bug_Titles</vt:lpstr>
      <vt:lpstr>New_Bugs</vt:lpstr>
      <vt:lpstr>New_Bugzilla_Link</vt:lpstr>
      <vt:lpstr>Summary!Print_Area</vt:lpstr>
      <vt:lpstr>Run_Name</vt:lpstr>
      <vt:lpstr>Run_Numbers</vt:lpstr>
      <vt:lpstr>Total_Bugs</vt:lpstr>
      <vt:lpstr>Total_Bugzilla_Link</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Harmattan Dali x Test Results</dc:title>
  <dc:creator>Teemu Niemi</dc:creator>
  <cp:lastModifiedBy>Jarno Keskikangas</cp:lastModifiedBy>
  <cp:lastPrinted>2009-12-03T10:53:20Z</cp:lastPrinted>
  <dcterms:created xsi:type="dcterms:W3CDTF">2009-11-30T11:07:41Z</dcterms:created>
  <dcterms:modified xsi:type="dcterms:W3CDTF">2010-09-17T11:23:07Z</dcterms:modified>
</cp:coreProperties>
</file>